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Malczak\PycharmProjects\assets\data_steps\"/>
    </mc:Choice>
  </mc:AlternateContent>
  <xr:revisionPtr revIDLastSave="0" documentId="13_ncr:1_{D9E400B2-BF70-48DC-93CF-1F10D51546D9}" xr6:coauthVersionLast="47" xr6:coauthVersionMax="47" xr10:uidLastSave="{00000000-0000-0000-0000-000000000000}"/>
  <bookViews>
    <workbookView xWindow="-110" yWindow="-110" windowWidth="29020" windowHeight="17500" xr2:uid="{B52E8888-37AB-4B6B-A727-715F8A07DBFD}"/>
  </bookViews>
  <sheets>
    <sheet name="tbl1" sheetId="1" r:id="rId1"/>
    <sheet name="Arkusz10" sheetId="11" r:id="rId2"/>
    <sheet name="operacje na papierach" sheetId="3" r:id="rId3"/>
    <sheet name="Arkusz7" sheetId="8" r:id="rId4"/>
    <sheet name="p&amp;l" sheetId="4" r:id="rId5"/>
    <sheet name="Arkusz9" sheetId="10" r:id="rId6"/>
    <sheet name="CF" sheetId="7" r:id="rId7"/>
    <sheet name="Arkusz11" sheetId="12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0" l="1"/>
  <c r="J34" i="10"/>
  <c r="J35" i="10"/>
  <c r="J36" i="10"/>
  <c r="J37" i="10"/>
  <c r="J38" i="10"/>
  <c r="J39" i="10"/>
  <c r="J40" i="10"/>
  <c r="J41" i="10"/>
  <c r="J42" i="10"/>
  <c r="J32" i="10"/>
  <c r="I42" i="10"/>
  <c r="G42" i="10"/>
  <c r="I41" i="10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J2" i="7"/>
  <c r="J31" i="7"/>
  <c r="J32" i="7"/>
  <c r="J33" i="7"/>
  <c r="J34" i="7"/>
  <c r="J3" i="7"/>
  <c r="J35" i="7"/>
  <c r="J36" i="7"/>
  <c r="J37" i="7"/>
  <c r="J38" i="7"/>
  <c r="J4" i="7"/>
  <c r="J39" i="7"/>
  <c r="J5" i="7"/>
  <c r="J40" i="7"/>
  <c r="J6" i="7"/>
  <c r="J41" i="7"/>
  <c r="J7" i="7"/>
  <c r="J42" i="7"/>
  <c r="J8" i="7"/>
  <c r="J43" i="7"/>
  <c r="J9" i="7"/>
  <c r="J44" i="7"/>
  <c r="J10" i="7"/>
  <c r="J45" i="7"/>
  <c r="J11" i="7"/>
  <c r="J12" i="7"/>
  <c r="J46" i="7"/>
  <c r="J13" i="7"/>
  <c r="J47" i="7"/>
  <c r="J14" i="7"/>
  <c r="J48" i="7"/>
  <c r="J15" i="7"/>
  <c r="J16" i="7"/>
  <c r="J49" i="7"/>
  <c r="J17" i="7"/>
  <c r="J18" i="7"/>
  <c r="J19" i="7"/>
  <c r="J50" i="7"/>
  <c r="J20" i="7"/>
  <c r="J51" i="7"/>
  <c r="J21" i="7"/>
  <c r="J52" i="7"/>
  <c r="J53" i="7"/>
  <c r="J22" i="7"/>
  <c r="J23" i="7"/>
  <c r="J54" i="7"/>
  <c r="J55" i="7"/>
  <c r="J56" i="7"/>
  <c r="J57" i="7"/>
  <c r="J58" i="7"/>
  <c r="J59" i="7"/>
  <c r="J60" i="7"/>
  <c r="J61" i="7"/>
  <c r="J24" i="7"/>
  <c r="J25" i="7"/>
  <c r="J26" i="7"/>
  <c r="J27" i="7"/>
  <c r="J28" i="7"/>
  <c r="J29" i="7"/>
  <c r="J30" i="7"/>
  <c r="E5" i="8"/>
</calcChain>
</file>

<file path=xl/sharedStrings.xml><?xml version="1.0" encoding="utf-8"?>
<sst xmlns="http://schemas.openxmlformats.org/spreadsheetml/2006/main" count="2224" uniqueCount="142">
  <si>
    <t>2004-02-22</t>
  </si>
  <si>
    <t>dyspozycja zakupu</t>
  </si>
  <si>
    <t>DOS0206</t>
  </si>
  <si>
    <t>zrealizowana</t>
  </si>
  <si>
    <t/>
  </si>
  <si>
    <t>2004-02-23</t>
  </si>
  <si>
    <t>zakup papierów</t>
  </si>
  <si>
    <t>2004-03-29</t>
  </si>
  <si>
    <t>DOS0306</t>
  </si>
  <si>
    <t>2004-03-30</t>
  </si>
  <si>
    <t>2004-06-06</t>
  </si>
  <si>
    <t>DOS0606</t>
  </si>
  <si>
    <t>2004-06-07</t>
  </si>
  <si>
    <t>2004-07-03</t>
  </si>
  <si>
    <t>DOS0706</t>
  </si>
  <si>
    <t>2004-07-05</t>
  </si>
  <si>
    <t>2004-08-02</t>
  </si>
  <si>
    <t>DOS0806</t>
  </si>
  <si>
    <t>2004-08-03</t>
  </si>
  <si>
    <t>2004-09-05</t>
  </si>
  <si>
    <t>DOS0906</t>
  </si>
  <si>
    <t>2004-09-06</t>
  </si>
  <si>
    <t>2004-10-04</t>
  </si>
  <si>
    <t>DOS1006</t>
  </si>
  <si>
    <t>2004-11-13</t>
  </si>
  <si>
    <t>DOS1106</t>
  </si>
  <si>
    <t>2004-11-15</t>
  </si>
  <si>
    <t>2004-12-11</t>
  </si>
  <si>
    <t>DOS1206</t>
  </si>
  <si>
    <t>2004-12-13</t>
  </si>
  <si>
    <t>2005-03-29</t>
  </si>
  <si>
    <t>TZ0208</t>
  </si>
  <si>
    <t>deponowanie do: 500747 - BIURO MAKLERSKIE BANKU BPH SA</t>
  </si>
  <si>
    <t>2006-02-16</t>
  </si>
  <si>
    <t>wykup - odsetki</t>
  </si>
  <si>
    <t>2006-02-22</t>
  </si>
  <si>
    <t>podatek</t>
  </si>
  <si>
    <t>wypłata przelewem</t>
  </si>
  <si>
    <t>wykup papierów</t>
  </si>
  <si>
    <t>2006-03-23</t>
  </si>
  <si>
    <t>2006-03-29</t>
  </si>
  <si>
    <t>2006-05-31</t>
  </si>
  <si>
    <t>2006-06-07</t>
  </si>
  <si>
    <t>2006-06-28</t>
  </si>
  <si>
    <t>2006-07-05</t>
  </si>
  <si>
    <t>2006-07-27</t>
  </si>
  <si>
    <t>2006-08-03</t>
  </si>
  <si>
    <t>2006-08-30</t>
  </si>
  <si>
    <t>2006-09-06</t>
  </si>
  <si>
    <t>2006-09-27</t>
  </si>
  <si>
    <t>2006-10-04</t>
  </si>
  <si>
    <t>2006-11-08</t>
  </si>
  <si>
    <t>2006-11-15</t>
  </si>
  <si>
    <t>2006-12-06</t>
  </si>
  <si>
    <t>2006-12-13</t>
  </si>
  <si>
    <t>2019-06-24</t>
  </si>
  <si>
    <t>OTS0919</t>
  </si>
  <si>
    <t>2019-07-08</t>
  </si>
  <si>
    <t>OTS1019</t>
  </si>
  <si>
    <t>TOZ0722</t>
  </si>
  <si>
    <t>COI0723</t>
  </si>
  <si>
    <t>2019-08-21</t>
  </si>
  <si>
    <t>OTS1119</t>
  </si>
  <si>
    <t>TOZ0822</t>
  </si>
  <si>
    <t>2019-09-17</t>
  </si>
  <si>
    <t>2019-09-23</t>
  </si>
  <si>
    <t>OTS1219</t>
  </si>
  <si>
    <t>2019-09-24</t>
  </si>
  <si>
    <t>2019-10-01</t>
  </si>
  <si>
    <t>2019-10-05</t>
  </si>
  <si>
    <t>OTS0120</t>
  </si>
  <si>
    <t>DOS1021</t>
  </si>
  <si>
    <t>anulowana</t>
  </si>
  <si>
    <t>COI1023</t>
  </si>
  <si>
    <t>EDO1029</t>
  </si>
  <si>
    <t>2019-10-08</t>
  </si>
  <si>
    <t>2019-10-15</t>
  </si>
  <si>
    <t>przelew z rachunku</t>
  </si>
  <si>
    <t>data realizacji 2019-10-16</t>
  </si>
  <si>
    <t>dyspozycja przedterminowego wykupu</t>
  </si>
  <si>
    <t>2019-10-18</t>
  </si>
  <si>
    <t>2019-10-23</t>
  </si>
  <si>
    <t>przedterminowy wykup</t>
  </si>
  <si>
    <t>odsetki</t>
  </si>
  <si>
    <t>opłata za przedterminowy wykup</t>
  </si>
  <si>
    <t>2019-10-28</t>
  </si>
  <si>
    <t>2019-12-16</t>
  </si>
  <si>
    <t>2019-12-23</t>
  </si>
  <si>
    <t>2019-12-30</t>
  </si>
  <si>
    <t>2020-01-08</t>
  </si>
  <si>
    <t>2020-02-14</t>
  </si>
  <si>
    <t>2020-02-16</t>
  </si>
  <si>
    <t>2020-02-21</t>
  </si>
  <si>
    <t>2020-02-24</t>
  </si>
  <si>
    <t>2020-03-03</t>
  </si>
  <si>
    <t>2020-04-01</t>
  </si>
  <si>
    <t>2020-04-09</t>
  </si>
  <si>
    <t>2020-07-01</t>
  </si>
  <si>
    <t>2020-07-08</t>
  </si>
  <si>
    <t>2020-08-14</t>
  </si>
  <si>
    <t>2020-08-21</t>
  </si>
  <si>
    <t>2020-09-28</t>
  </si>
  <si>
    <t>2020-10-05</t>
  </si>
  <si>
    <t>2021-02-15</t>
  </si>
  <si>
    <t>2021-02-22</t>
  </si>
  <si>
    <t>2021-07-01</t>
  </si>
  <si>
    <t>2021-07-08</t>
  </si>
  <si>
    <t>2021-08-16</t>
  </si>
  <si>
    <t>2021-08-23</t>
  </si>
  <si>
    <t>2021-09-28</t>
  </si>
  <si>
    <t>2021-10-05</t>
  </si>
  <si>
    <t>2022-02-14</t>
  </si>
  <si>
    <t>2022-02-21</t>
  </si>
  <si>
    <t>2022-07-01</t>
  </si>
  <si>
    <t>2022-07-08</t>
  </si>
  <si>
    <t>2022-08-12</t>
  </si>
  <si>
    <t>2022-08-22</t>
  </si>
  <si>
    <t>2022-09-28</t>
  </si>
  <si>
    <t>2022-10-05</t>
  </si>
  <si>
    <t>2023-07-03</t>
  </si>
  <si>
    <t>2023-07-10</t>
  </si>
  <si>
    <t>2023-09-28</t>
  </si>
  <si>
    <t>2023-10-05</t>
  </si>
  <si>
    <t>DATA DYSPOZYCJI</t>
  </si>
  <si>
    <t>RODZAJ DYSPOZYCJI</t>
  </si>
  <si>
    <t>KOD OBLIGACJI</t>
  </si>
  <si>
    <t>NR ZAPISU</t>
  </si>
  <si>
    <t>SERIA</t>
  </si>
  <si>
    <t>LICZBA OBLIGACJI</t>
  </si>
  <si>
    <t>KWOTA OPERACJI</t>
  </si>
  <si>
    <t>STATUS</t>
  </si>
  <si>
    <t>UWAGI</t>
  </si>
  <si>
    <t>Suma końcowa</t>
  </si>
  <si>
    <t>Suma</t>
  </si>
  <si>
    <t>Suma z KWOTA OPERACJI</t>
  </si>
  <si>
    <t>lp</t>
  </si>
  <si>
    <t>naliczenie odsetek</t>
  </si>
  <si>
    <t>naliczenie wykupu</t>
  </si>
  <si>
    <t>Suma z LICZBA OBLIGACJI</t>
  </si>
  <si>
    <t>CF</t>
  </si>
  <si>
    <t>RODZAJ DYSPOZYCJI2</t>
  </si>
  <si>
    <t>wykup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</si>
</sst>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b/>
      <sz val="10"/>
      <name val="Arial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0" fontId="3" fillId="4" borderId="0" xfId="0" applyFont="1" applyFill="1"/>
    <xf numFmtId="0" fontId="3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1" fillId="5" borderId="0" xfId="0" applyFont="1" applyFill="1"/>
    <xf numFmtId="0" fontId="4" fillId="0" borderId="11" xfId="0" applyFont="1" applyBorder="1"/>
    <xf numFmtId="0" fontId="4" fillId="2" borderId="11" xfId="0" applyFont="1" applyFill="1" applyBorder="1"/>
    <xf numFmtId="0" fontId="3" fillId="4" borderId="0" xfId="0" applyFont="1" applyFill="1" applyAlignment="1">
      <alignment horizontal="right"/>
    </xf>
    <xf numFmtId="4" fontId="3" fillId="4" borderId="0" xfId="0" applyNumberFormat="1" applyFont="1" applyFill="1" applyAlignment="1">
      <alignment horizontal="right"/>
    </xf>
    <xf numFmtId="0" fontId="3" fillId="5" borderId="0" xfId="0" applyFont="1" applyFill="1"/>
    <xf numFmtId="0" fontId="3" fillId="5" borderId="0" xfId="0" applyFont="1" applyFill="1" applyAlignment="1">
      <alignment horizontal="right"/>
    </xf>
    <xf numFmtId="4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12" xfId="0" applyFont="1" applyBorder="1"/>
    <xf numFmtId="0" fontId="4" fillId="2" borderId="12" xfId="0" applyFont="1" applyFill="1" applyBorder="1"/>
    <xf numFmtId="4" fontId="0" fillId="0" borderId="1" xfId="0" applyNumberFormat="1" applyBorder="1"/>
    <xf numFmtId="4" fontId="0" fillId="0" borderId="9" xfId="0" applyNumberFormat="1" applyBorder="1"/>
    <xf numFmtId="4" fontId="0" fillId="0" borderId="4" xfId="0" applyNumberFormat="1" applyBorder="1"/>
    <xf numFmtId="4" fontId="0" fillId="0" borderId="0" xfId="0" applyNumberFormat="1"/>
    <xf numFmtId="4" fontId="0" fillId="0" borderId="5" xfId="0" applyNumberFormat="1" applyBorder="1"/>
    <xf numFmtId="4" fontId="0" fillId="0" borderId="10" xfId="0" applyNumberFormat="1" applyBorder="1"/>
    <xf numFmtId="0" fontId="3" fillId="4" borderId="12" xfId="0" applyFont="1" applyFill="1" applyBorder="1"/>
    <xf numFmtId="0" fontId="3" fillId="4" borderId="12" xfId="0" applyFont="1" applyFill="1" applyBorder="1" applyAlignment="1">
      <alignment horizontal="right"/>
    </xf>
    <xf numFmtId="4" fontId="3" fillId="4" borderId="12" xfId="0" applyNumberFormat="1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0" fillId="0" borderId="0" xfId="0" applyFill="1" applyAlignment="1">
      <alignment horizontal="right"/>
    </xf>
    <xf numFmtId="4" fontId="0" fillId="0" borderId="0" xfId="0" applyNumberFormat="1" applyFill="1" applyAlignment="1">
      <alignment horizontal="right"/>
    </xf>
  </cellXfs>
  <cellStyles count="1">
    <cellStyle name="Normalny" xfId="0" builtinId="0"/>
  </cellStyles>
  <dxfs count="49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fill>
        <patternFill patternType="solid">
          <fgColor indexed="64"/>
          <bgColor indexed="5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indexed="55"/>
        </patternFill>
      </fill>
    </dxf>
    <dxf>
      <fill>
        <patternFill patternType="solid">
          <fgColor indexed="64"/>
          <bgColor indexed="22"/>
        </patternFill>
      </fill>
    </dxf>
    <dxf>
      <fill>
        <patternFill patternType="solid">
          <fgColor indexed="64"/>
          <bgColor indexed="22"/>
        </patternFill>
      </fill>
    </dxf>
    <dxf>
      <numFmt numFmtId="4" formatCode="#,##0.00"/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</dxf>
    <dxf>
      <fill>
        <patternFill patternType="solid">
          <fgColor indexed="64"/>
          <bgColor indexed="22"/>
        </patternFill>
      </fill>
    </dxf>
    <dxf>
      <fill>
        <patternFill patternType="solid">
          <fgColor indexed="64"/>
          <bgColor indexed="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otr Malczak" refreshedDate="45919.020868749998" createdVersion="8" refreshedVersion="8" recordCount="60" xr:uid="{FFB522F3-0903-4B90-9834-A87F96563227}">
  <cacheSource type="worksheet">
    <worksheetSource name="Tabela4"/>
  </cacheSource>
  <cacheFields count="12">
    <cacheField name="lp" numFmtId="0">
      <sharedItems containsSemiMixedTypes="0" containsString="0" containsNumber="1" containsInteger="1" minValue="1" maxValue="183"/>
    </cacheField>
    <cacheField name="DATA DYSPOZYCJI" numFmtId="0">
      <sharedItems/>
    </cacheField>
    <cacheField name="RODZAJ DYSPOZYCJI" numFmtId="0">
      <sharedItems containsBlank="1" count="5">
        <s v="dyspozycja zakupu"/>
        <s v="przedterminowy wykup"/>
        <s v="wypłata przelewem"/>
        <m u="1"/>
        <s v="naliczenie wykupu" u="1"/>
      </sharedItems>
    </cacheField>
    <cacheField name="RODZAJ DYSPOZYCJI2" numFmtId="0">
      <sharedItems count="2">
        <s v="dyspozycja zakupu"/>
        <s v="wykup"/>
      </sharedItems>
    </cacheField>
    <cacheField name="KOD OBLIGACJI" numFmtId="0">
      <sharedItems count="22">
        <s v="COI0723"/>
        <s v="COI1023"/>
        <s v="DOS0206"/>
        <s v="DOS0306"/>
        <s v="DOS0606"/>
        <s v="DOS0706"/>
        <s v="DOS0806"/>
        <s v="DOS0906"/>
        <s v="DOS1006"/>
        <s v="DOS1021"/>
        <s v="DOS1106"/>
        <s v="DOS1206"/>
        <s v="EDO1029"/>
        <s v="OTS0120"/>
        <s v="OTS0919"/>
        <s v="OTS1019"/>
        <s v="OTS1119"/>
        <s v="OTS1219"/>
        <s v="TOZ0722"/>
        <s v="TOZ0822"/>
        <s v="TZ0208"/>
        <s v="" u="1"/>
      </sharedItems>
    </cacheField>
    <cacheField name="NR ZAPISU" numFmtId="0">
      <sharedItems containsSemiMixedTypes="0" containsString="0" containsNumber="1" containsInteger="1" minValue="0" maxValue="21818"/>
    </cacheField>
    <cacheField name="SERIA" numFmtId="0">
      <sharedItems containsMixedTypes="1" containsNumber="1" containsInteger="1" minValue="0" maxValue="30"/>
    </cacheField>
    <cacheField name="LICZBA OBLIGACJI" numFmtId="0">
      <sharedItems containsSemiMixedTypes="0" containsString="0" containsNumber="1" containsInteger="1" minValue="0" maxValue="500"/>
    </cacheField>
    <cacheField name="KWOTA OPERACJI" numFmtId="4">
      <sharedItems containsSemiMixedTypes="0" containsString="0" containsNumber="1" minValue="-50648" maxValue="50000"/>
    </cacheField>
    <cacheField name="CF" numFmtId="4">
      <sharedItems containsSemiMixedTypes="0" containsString="0" containsNumber="1" minValue="-50000" maxValue="50648"/>
    </cacheField>
    <cacheField name="STATUS" numFmtId="0">
      <sharedItems/>
    </cacheField>
    <cacheField name="UWAG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otr Malczak" refreshedDate="45919.020868865744" createdVersion="8" refreshedVersion="8" recordCount="62" xr:uid="{1FEEE032-EF0A-4771-87F3-601BE1A3132E}">
  <cacheSource type="worksheet">
    <worksheetSource name="Tabela14"/>
  </cacheSource>
  <cacheFields count="10">
    <cacheField name="lp" numFmtId="0">
      <sharedItems containsSemiMixedTypes="0" containsString="0" containsNumber="1" containsInteger="1" minValue="22" maxValue="182"/>
    </cacheField>
    <cacheField name="DATA DYSPOZYCJI" numFmtId="0">
      <sharedItems/>
    </cacheField>
    <cacheField name="RODZAJ DYSPOZYCJI" numFmtId="0">
      <sharedItems/>
    </cacheField>
    <cacheField name="KOD OBLIGACJI" numFmtId="0">
      <sharedItems containsBlank="1" count="20">
        <s v="COI0723"/>
        <s v="COI1023"/>
        <s v="TOZ0722"/>
        <s v="TOZ0822"/>
        <s v="DOS1021"/>
        <s v="DOS0206"/>
        <s v="DOS0306"/>
        <s v="DOS0606"/>
        <s v="DOS0706"/>
        <s v="DOS0806"/>
        <s v="DOS0906"/>
        <s v="DOS1006"/>
        <s v="DOS1106"/>
        <s v="DOS1206"/>
        <s v="OTS0919"/>
        <s v="OTS1019"/>
        <s v="OTS1219"/>
        <m u="1"/>
        <s v="OTS0120" u="1"/>
        <s v="OTS1119" u="1"/>
      </sharedItems>
    </cacheField>
    <cacheField name="NR ZAPISU" numFmtId="0">
      <sharedItems containsSemiMixedTypes="0" containsString="0" containsNumber="1" containsInteger="1" minValue="0" maxValue="6"/>
    </cacheField>
    <cacheField name="SERIA" numFmtId="0">
      <sharedItems containsMixedTypes="1" containsNumber="1" containsInteger="1" minValue="2" maxValue="30"/>
    </cacheField>
    <cacheField name="LICZBA OBLIGACJI" numFmtId="0">
      <sharedItems containsSemiMixedTypes="0" containsString="0" containsNumber="1" containsInteger="1" minValue="0" maxValue="0"/>
    </cacheField>
    <cacheField name="KWOTA OPERACJI" numFmtId="4">
      <sharedItems containsSemiMixedTypes="0" containsString="0" containsNumber="1" minValue="-659.3" maxValue="3470"/>
    </cacheField>
    <cacheField name="STATUS" numFmtId="0">
      <sharedItems/>
    </cacheField>
    <cacheField name="UWAG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otr Malczak" refreshedDate="45919.02086921296" createdVersion="8" refreshedVersion="8" recordCount="44" xr:uid="{300C8C68-FFD1-4EC3-9F5B-00FD55D56FB0}">
  <cacheSource type="worksheet">
    <worksheetSource name="Tabela13"/>
  </cacheSource>
  <cacheFields count="10">
    <cacheField name="lp" numFmtId="0">
      <sharedItems containsSemiMixedTypes="0" containsString="0" containsNumber="1" containsInteger="1" minValue="2" maxValue="184"/>
    </cacheField>
    <cacheField name="DATA DYSPOZYCJI" numFmtId="0">
      <sharedItems/>
    </cacheField>
    <cacheField name="RODZAJ DYSPOZYCJI" numFmtId="0">
      <sharedItems count="3">
        <s v="zakup papierów"/>
        <s v="wykup papierów"/>
        <s v="dyspozycja przedterminowego wykupu"/>
      </sharedItems>
    </cacheField>
    <cacheField name="KOD OBLIGACJI" numFmtId="0">
      <sharedItems count="21">
        <s v="COI0723"/>
        <s v="COI1023"/>
        <s v="DOS0206"/>
        <s v="DOS0306"/>
        <s v="DOS0606"/>
        <s v="DOS0706"/>
        <s v="DOS0806"/>
        <s v="DOS0906"/>
        <s v="DOS1006"/>
        <s v="DOS1021"/>
        <s v="DOS1106"/>
        <s v="DOS1206"/>
        <s v="EDO1029"/>
        <s v="OTS0120"/>
        <s v="OTS0919"/>
        <s v="OTS1019"/>
        <s v="OTS1119"/>
        <s v="OTS1219"/>
        <s v="TOZ0722"/>
        <s v="TOZ0822"/>
        <s v="TZ0208"/>
      </sharedItems>
    </cacheField>
    <cacheField name="NR ZAPISU" numFmtId="0">
      <sharedItems containsSemiMixedTypes="0" containsString="0" containsNumber="1" containsInteger="1" minValue="0" maxValue="21818"/>
    </cacheField>
    <cacheField name="SERIA" numFmtId="0">
      <sharedItems containsSemiMixedTypes="0" containsString="0" containsNumber="1" containsInteger="1" minValue="0" maxValue="30"/>
    </cacheField>
    <cacheField name="LICZBA OBLIGACJI" numFmtId="0">
      <sharedItems containsSemiMixedTypes="0" containsString="0" containsNumber="1" containsInteger="1" minValue="-500" maxValue="500"/>
    </cacheField>
    <cacheField name="KWOTA OPERACJI" numFmtId="4">
      <sharedItems containsMixedTypes="1" containsNumber="1" minValue="0" maxValue="50000"/>
    </cacheField>
    <cacheField name="STATUS" numFmtId="0">
      <sharedItems/>
    </cacheField>
    <cacheField name="UWAG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72"/>
    <s v="2019-07-08"/>
    <x v="0"/>
    <x v="0"/>
    <x v="0"/>
    <n v="2370"/>
    <n v="8"/>
    <n v="200"/>
    <n v="20000"/>
    <n v="-20000"/>
    <s v="zrealizowana"/>
    <s v=""/>
  </r>
  <r>
    <n v="95"/>
    <s v="2019-10-05"/>
    <x v="0"/>
    <x v="0"/>
    <x v="1"/>
    <n v="2722"/>
    <n v="5"/>
    <n v="200"/>
    <n v="20000"/>
    <n v="-20000"/>
    <s v="zrealizowana"/>
    <s v=""/>
  </r>
  <r>
    <n v="1"/>
    <s v="2004-02-22"/>
    <x v="0"/>
    <x v="0"/>
    <x v="2"/>
    <n v="17611"/>
    <n v="22"/>
    <n v="2"/>
    <n v="200"/>
    <n v="-200"/>
    <s v="zrealizowana"/>
    <s v=""/>
  </r>
  <r>
    <n v="3"/>
    <s v="2004-03-29"/>
    <x v="0"/>
    <x v="0"/>
    <x v="3"/>
    <n v="21818"/>
    <n v="30"/>
    <n v="20"/>
    <n v="2000"/>
    <n v="-2000"/>
    <s v="zrealizowana"/>
    <s v=""/>
  </r>
  <r>
    <n v="5"/>
    <s v="2004-06-06"/>
    <x v="0"/>
    <x v="0"/>
    <x v="4"/>
    <n v="4900"/>
    <n v="7"/>
    <n v="30"/>
    <n v="3000"/>
    <n v="-3000"/>
    <s v="zrealizowana"/>
    <s v=""/>
  </r>
  <r>
    <n v="7"/>
    <s v="2004-07-03"/>
    <x v="0"/>
    <x v="0"/>
    <x v="5"/>
    <n v="2487"/>
    <n v="5"/>
    <n v="20"/>
    <n v="2000"/>
    <n v="-2000"/>
    <s v="zrealizowana"/>
    <s v=""/>
  </r>
  <r>
    <n v="9"/>
    <s v="2004-08-02"/>
    <x v="0"/>
    <x v="0"/>
    <x v="6"/>
    <n v="2382"/>
    <n v="2"/>
    <n v="15"/>
    <n v="1500"/>
    <n v="-1500"/>
    <s v="zrealizowana"/>
    <s v=""/>
  </r>
  <r>
    <n v="11"/>
    <s v="2004-09-05"/>
    <x v="0"/>
    <x v="0"/>
    <x v="7"/>
    <n v="4275"/>
    <n v="6"/>
    <n v="20"/>
    <n v="2000"/>
    <n v="-2000"/>
    <s v="zrealizowana"/>
    <s v=""/>
  </r>
  <r>
    <n v="13"/>
    <s v="2004-10-04"/>
    <x v="0"/>
    <x v="0"/>
    <x v="8"/>
    <n v="1213"/>
    <n v="4"/>
    <n v="20"/>
    <n v="2000"/>
    <n v="-2000"/>
    <s v="zrealizowana"/>
    <s v=""/>
  </r>
  <r>
    <n v="90"/>
    <s v="2019-10-05"/>
    <x v="0"/>
    <x v="0"/>
    <x v="9"/>
    <n v="2742"/>
    <n v="5"/>
    <n v="200"/>
    <n v="20000"/>
    <n v="-20000"/>
    <s v="zrealizowana"/>
    <s v=""/>
  </r>
  <r>
    <n v="93"/>
    <s v="2019-10-05"/>
    <x v="0"/>
    <x v="0"/>
    <x v="9"/>
    <n v="2744"/>
    <n v="5"/>
    <n v="200"/>
    <n v="20000"/>
    <n v="-20000"/>
    <s v="zrealizowana"/>
    <s v=""/>
  </r>
  <r>
    <n v="15"/>
    <s v="2004-11-13"/>
    <x v="0"/>
    <x v="0"/>
    <x v="10"/>
    <n v="5468"/>
    <n v="15"/>
    <n v="100"/>
    <n v="10000"/>
    <n v="-10000"/>
    <s v="zrealizowana"/>
    <s v=""/>
  </r>
  <r>
    <n v="17"/>
    <s v="2004-12-11"/>
    <x v="0"/>
    <x v="0"/>
    <x v="11"/>
    <n v="5716"/>
    <n v="13"/>
    <n v="75"/>
    <n v="7500"/>
    <n v="-7500"/>
    <s v="zrealizowana"/>
    <s v=""/>
  </r>
  <r>
    <n v="98"/>
    <s v="2019-10-05"/>
    <x v="0"/>
    <x v="0"/>
    <x v="12"/>
    <n v="2033"/>
    <n v="5"/>
    <n v="500"/>
    <n v="50000"/>
    <n v="-50000"/>
    <s v="zrealizowana"/>
    <s v=""/>
  </r>
  <r>
    <n v="88"/>
    <s v="2019-10-05"/>
    <x v="0"/>
    <x v="0"/>
    <x v="13"/>
    <n v="2194"/>
    <n v="5"/>
    <n v="500"/>
    <n v="50000"/>
    <n v="-50000"/>
    <s v="zrealizowana"/>
    <s v=""/>
  </r>
  <r>
    <n v="66"/>
    <s v="2019-06-24"/>
    <x v="0"/>
    <x v="0"/>
    <x v="14"/>
    <n v="3658"/>
    <n v="24"/>
    <n v="100"/>
    <n v="10000"/>
    <n v="-10000"/>
    <s v="zrealizowana"/>
    <s v=""/>
  </r>
  <r>
    <n v="68"/>
    <s v="2019-07-08"/>
    <x v="0"/>
    <x v="0"/>
    <x v="15"/>
    <n v="2882"/>
    <n v="8"/>
    <n v="200"/>
    <n v="20000"/>
    <n v="-20000"/>
    <s v="zrealizowana"/>
    <s v=""/>
  </r>
  <r>
    <n v="74"/>
    <s v="2019-08-21"/>
    <x v="0"/>
    <x v="0"/>
    <x v="16"/>
    <n v="5120"/>
    <n v="21"/>
    <n v="500"/>
    <n v="50000"/>
    <n v="-50000"/>
    <s v="zrealizowana"/>
    <s v=""/>
  </r>
  <r>
    <n v="82"/>
    <s v="2019-09-23"/>
    <x v="0"/>
    <x v="0"/>
    <x v="17"/>
    <n v="5035"/>
    <n v="23"/>
    <n v="500"/>
    <n v="50000"/>
    <n v="-50000"/>
    <s v="zrealizowana"/>
    <s v=""/>
  </r>
  <r>
    <n v="70"/>
    <s v="2019-07-08"/>
    <x v="0"/>
    <x v="0"/>
    <x v="18"/>
    <n v="356"/>
    <n v="8"/>
    <n v="200"/>
    <n v="20000"/>
    <n v="-20000"/>
    <s v="zrealizowana"/>
    <s v=""/>
  </r>
  <r>
    <n v="76"/>
    <s v="2019-08-21"/>
    <x v="0"/>
    <x v="0"/>
    <x v="19"/>
    <n v="701"/>
    <n v="21"/>
    <n v="500"/>
    <n v="50000"/>
    <n v="-50000"/>
    <s v="zrealizowana"/>
    <s v=""/>
  </r>
  <r>
    <n v="78"/>
    <s v="2019-08-21"/>
    <x v="0"/>
    <x v="0"/>
    <x v="19"/>
    <n v="702"/>
    <n v="21"/>
    <n v="350"/>
    <n v="35000"/>
    <n v="-35000"/>
    <s v="zrealizowana"/>
    <s v=""/>
  </r>
  <r>
    <n v="19"/>
    <s v="2005-03-29"/>
    <x v="0"/>
    <x v="0"/>
    <x v="20"/>
    <n v="10146"/>
    <n v="0"/>
    <n v="20"/>
    <n v="2028.4"/>
    <n v="-2028.4"/>
    <s v="zrealizowana"/>
    <s v="deponowanie do: 500747 - BIURO MAKLERSKIE BANKU BPH SA"/>
  </r>
  <r>
    <n v="106"/>
    <s v="2019-10-23"/>
    <x v="1"/>
    <x v="1"/>
    <x v="9"/>
    <n v="0"/>
    <n v="5"/>
    <n v="0"/>
    <n v="40000"/>
    <n v="-40000"/>
    <s v="zrealizowana"/>
    <s v=""/>
  </r>
  <r>
    <n v="112"/>
    <s v="2019-10-28"/>
    <x v="1"/>
    <x v="1"/>
    <x v="13"/>
    <n v="0"/>
    <n v="5"/>
    <n v="0"/>
    <n v="50000"/>
    <n v="-50000"/>
    <s v="zrealizowana"/>
    <s v=""/>
  </r>
  <r>
    <n v="110"/>
    <s v="2019-10-28"/>
    <x v="1"/>
    <x v="1"/>
    <x v="16"/>
    <n v="0"/>
    <n v="21"/>
    <n v="0"/>
    <n v="50000"/>
    <n v="-50000"/>
    <s v="zrealizowana"/>
    <s v=""/>
  </r>
  <r>
    <n v="126"/>
    <s v="2020-02-24"/>
    <x v="1"/>
    <x v="1"/>
    <x v="18"/>
    <n v="0"/>
    <n v="8"/>
    <n v="0"/>
    <n v="20000"/>
    <n v="-20000"/>
    <s v="zrealizowana"/>
    <s v=""/>
  </r>
  <r>
    <n v="131"/>
    <s v="2020-03-03"/>
    <x v="1"/>
    <x v="1"/>
    <x v="19"/>
    <n v="0"/>
    <n v="21"/>
    <n v="0"/>
    <n v="20000"/>
    <n v="-20000"/>
    <s v="zrealizowana"/>
    <s v=""/>
  </r>
  <r>
    <n v="136"/>
    <s v="2020-04-09"/>
    <x v="1"/>
    <x v="1"/>
    <x v="19"/>
    <n v="0"/>
    <n v="21"/>
    <n v="0"/>
    <n v="15000"/>
    <n v="-15000"/>
    <s v="zrealizowana"/>
    <s v=""/>
  </r>
  <r>
    <n v="142"/>
    <s v="2020-07-08"/>
    <x v="2"/>
    <x v="1"/>
    <x v="0"/>
    <n v="0"/>
    <s v=""/>
    <n v="0"/>
    <n v="-388.8"/>
    <n v="388.8"/>
    <s v="zrealizowana"/>
    <s v=""/>
  </r>
  <r>
    <n v="154"/>
    <s v="2021-07-08"/>
    <x v="2"/>
    <x v="1"/>
    <x v="0"/>
    <n v="0"/>
    <s v=""/>
    <n v="0"/>
    <n v="-672.3"/>
    <n v="672.3"/>
    <s v="zrealizowana"/>
    <s v=""/>
  </r>
  <r>
    <n v="166"/>
    <s v="2022-07-08"/>
    <x v="2"/>
    <x v="1"/>
    <x v="0"/>
    <n v="0"/>
    <s v=""/>
    <n v="0"/>
    <n v="-963.9"/>
    <n v="963.9"/>
    <s v="zrealizowana"/>
    <s v=""/>
  </r>
  <r>
    <n v="178"/>
    <s v="2023-07-10"/>
    <x v="2"/>
    <x v="1"/>
    <x v="0"/>
    <n v="0"/>
    <s v=""/>
    <n v="0"/>
    <n v="-22454.3"/>
    <n v="22454.3"/>
    <s v="zrealizowana"/>
    <s v=""/>
  </r>
  <r>
    <n v="148"/>
    <s v="2020-10-05"/>
    <x v="2"/>
    <x v="1"/>
    <x v="1"/>
    <n v="0"/>
    <s v=""/>
    <n v="0"/>
    <n v="-388.8"/>
    <n v="388.8"/>
    <s v="zrealizowana"/>
    <s v=""/>
  </r>
  <r>
    <n v="160"/>
    <s v="2021-10-05"/>
    <x v="2"/>
    <x v="1"/>
    <x v="1"/>
    <n v="0"/>
    <s v=""/>
    <n v="0"/>
    <n v="-672.3"/>
    <n v="672.3"/>
    <s v="zrealizowana"/>
    <s v=""/>
  </r>
  <r>
    <n v="174"/>
    <s v="2022-10-05"/>
    <x v="2"/>
    <x v="1"/>
    <x v="1"/>
    <n v="0"/>
    <s v=""/>
    <n v="0"/>
    <n v="-1093.5"/>
    <n v="1093.5"/>
    <s v="zrealizowana"/>
    <s v=""/>
  </r>
  <r>
    <n v="183"/>
    <s v="2023-10-05"/>
    <x v="2"/>
    <x v="1"/>
    <x v="1"/>
    <n v="0"/>
    <s v=""/>
    <n v="0"/>
    <n v="-22810.7"/>
    <n v="22810.7"/>
    <s v="zrealizowana"/>
    <s v=""/>
  </r>
  <r>
    <n v="24"/>
    <s v="2006-02-22"/>
    <x v="2"/>
    <x v="1"/>
    <x v="2"/>
    <n v="0"/>
    <s v=""/>
    <n v="0"/>
    <n v="-219.72"/>
    <n v="219.72"/>
    <s v="zrealizowana"/>
    <s v=""/>
  </r>
  <r>
    <n v="29"/>
    <s v="2006-03-29"/>
    <x v="2"/>
    <x v="1"/>
    <x v="3"/>
    <n v="0"/>
    <s v=""/>
    <n v="0"/>
    <n v="-2200.1999999999998"/>
    <n v="2200.1999999999998"/>
    <s v="zrealizowana"/>
    <s v=""/>
  </r>
  <r>
    <n v="34"/>
    <s v="2006-06-07"/>
    <x v="2"/>
    <x v="1"/>
    <x v="4"/>
    <n v="0"/>
    <s v=""/>
    <n v="0"/>
    <n v="-3336.5"/>
    <n v="3336.5"/>
    <s v="zrealizowana"/>
    <s v=""/>
  </r>
  <r>
    <n v="39"/>
    <s v="2006-07-05"/>
    <x v="2"/>
    <x v="1"/>
    <x v="5"/>
    <n v="0"/>
    <s v=""/>
    <n v="0"/>
    <n v="-2224"/>
    <n v="2224"/>
    <s v="zrealizowana"/>
    <s v=""/>
  </r>
  <r>
    <n v="44"/>
    <s v="2006-08-03"/>
    <x v="2"/>
    <x v="1"/>
    <x v="6"/>
    <n v="0"/>
    <s v=""/>
    <n v="0"/>
    <n v="-1676.35"/>
    <n v="1676.35"/>
    <s v="zrealizowana"/>
    <s v=""/>
  </r>
  <r>
    <n v="49"/>
    <s v="2006-09-06"/>
    <x v="2"/>
    <x v="1"/>
    <x v="7"/>
    <n v="0"/>
    <s v=""/>
    <n v="0"/>
    <n v="-2234.8000000000002"/>
    <n v="2234.8000000000002"/>
    <s v="zrealizowana"/>
    <s v=""/>
  </r>
  <r>
    <n v="54"/>
    <s v="2006-10-04"/>
    <x v="2"/>
    <x v="1"/>
    <x v="8"/>
    <n v="0"/>
    <s v=""/>
    <n v="0"/>
    <n v="-2234.8000000000002"/>
    <n v="2234.8000000000002"/>
    <s v="zrealizowana"/>
    <s v=""/>
  </r>
  <r>
    <n v="109"/>
    <s v="2019-10-23"/>
    <x v="2"/>
    <x v="1"/>
    <x v="9"/>
    <n v="0"/>
    <s v=""/>
    <n v="0"/>
    <n v="-40000"/>
    <n v="40000"/>
    <s v="zrealizowana"/>
    <s v=""/>
  </r>
  <r>
    <n v="59"/>
    <s v="2006-11-15"/>
    <x v="2"/>
    <x v="1"/>
    <x v="10"/>
    <n v="0"/>
    <s v=""/>
    <n v="0"/>
    <n v="-11131"/>
    <n v="11131"/>
    <s v="zrealizowana"/>
    <s v=""/>
  </r>
  <r>
    <n v="64"/>
    <s v="2006-12-13"/>
    <x v="2"/>
    <x v="1"/>
    <x v="11"/>
    <n v="0"/>
    <s v=""/>
    <n v="0"/>
    <n v="-8315.5"/>
    <n v="8315.5"/>
    <s v="zrealizowana"/>
    <s v=""/>
  </r>
  <r>
    <n v="113"/>
    <s v="2019-10-28"/>
    <x v="2"/>
    <x v="1"/>
    <x v="13"/>
    <n v="0"/>
    <s v=""/>
    <n v="0"/>
    <n v="-50000"/>
    <n v="50000"/>
    <s v="zrealizowana"/>
    <s v=""/>
  </r>
  <r>
    <n v="111"/>
    <s v="2019-10-28"/>
    <x v="2"/>
    <x v="1"/>
    <x v="16"/>
    <n v="0"/>
    <s v=""/>
    <n v="0"/>
    <n v="-50000"/>
    <n v="50000"/>
    <s v="zrealizowana"/>
    <s v=""/>
  </r>
  <r>
    <n v="117"/>
    <s v="2019-12-23"/>
    <x v="2"/>
    <x v="1"/>
    <x v="17"/>
    <n v="0"/>
    <s v=""/>
    <n v="0"/>
    <n v="-50149.85"/>
    <n v="50149.85"/>
    <s v="zrealizowana"/>
    <s v=""/>
  </r>
  <r>
    <n v="121"/>
    <s v="2020-01-08"/>
    <x v="2"/>
    <x v="1"/>
    <x v="18"/>
    <n v="0"/>
    <s v=""/>
    <n v="0"/>
    <n v="-178.2"/>
    <n v="178.2"/>
    <s v="zrealizowana"/>
    <s v=""/>
  </r>
  <r>
    <n v="129"/>
    <s v="2020-02-24"/>
    <x v="2"/>
    <x v="1"/>
    <x v="18"/>
    <n v="0"/>
    <s v=""/>
    <n v="0"/>
    <n v="-19904"/>
    <n v="19904"/>
    <s v="zrealizowana"/>
    <s v=""/>
  </r>
  <r>
    <n v="125"/>
    <s v="2020-02-21"/>
    <x v="2"/>
    <x v="1"/>
    <x v="19"/>
    <n v="0"/>
    <s v=""/>
    <n v="0"/>
    <n v="-757.35"/>
    <n v="757.35"/>
    <s v="zrealizowana"/>
    <s v=""/>
  </r>
  <r>
    <n v="134"/>
    <s v="2020-03-03"/>
    <x v="2"/>
    <x v="1"/>
    <x v="19"/>
    <n v="0"/>
    <s v=""/>
    <n v="0"/>
    <n v="-19870"/>
    <n v="19870"/>
    <s v="zrealizowana"/>
    <s v=""/>
  </r>
  <r>
    <n v="139"/>
    <s v="2020-04-09"/>
    <x v="2"/>
    <x v="1"/>
    <x v="19"/>
    <n v="0"/>
    <s v=""/>
    <n v="0"/>
    <n v="-14929.5"/>
    <n v="14929.5"/>
    <s v="zrealizowana"/>
    <s v=""/>
  </r>
  <r>
    <n v="145"/>
    <s v="2020-08-21"/>
    <x v="2"/>
    <x v="1"/>
    <x v="19"/>
    <n v="0"/>
    <s v=""/>
    <n v="0"/>
    <n v="-364.5"/>
    <n v="364.5"/>
    <s v="zrealizowana"/>
    <s v=""/>
  </r>
  <r>
    <n v="151"/>
    <s v="2021-02-22"/>
    <x v="2"/>
    <x v="1"/>
    <x v="19"/>
    <n v="0"/>
    <s v=""/>
    <n v="0"/>
    <n v="-56.7"/>
    <n v="56.7"/>
    <s v="zrealizowana"/>
    <s v=""/>
  </r>
  <r>
    <n v="157"/>
    <s v="2021-08-23"/>
    <x v="2"/>
    <x v="1"/>
    <x v="19"/>
    <n v="0"/>
    <s v=""/>
    <n v="0"/>
    <n v="-52.65"/>
    <n v="52.65"/>
    <s v="zrealizowana"/>
    <s v=""/>
  </r>
  <r>
    <n v="163"/>
    <s v="2022-02-21"/>
    <x v="2"/>
    <x v="1"/>
    <x v="19"/>
    <n v="0"/>
    <s v=""/>
    <n v="0"/>
    <n v="-52.65"/>
    <n v="52.65"/>
    <s v="zrealizowana"/>
    <s v=""/>
  </r>
  <r>
    <n v="170"/>
    <s v="2022-08-22"/>
    <x v="2"/>
    <x v="1"/>
    <x v="19"/>
    <n v="0"/>
    <s v=""/>
    <n v="0"/>
    <n v="-50648"/>
    <n v="50648"/>
    <s v="zrealizowana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140"/>
    <s v="2020-07-01"/>
    <s v="naliczenie odsetek"/>
    <x v="0"/>
    <n v="0"/>
    <n v="8"/>
    <n v="0"/>
    <n v="480"/>
    <s v="zrealizowana"/>
    <s v=""/>
  </r>
  <r>
    <n v="152"/>
    <s v="2021-07-01"/>
    <s v="naliczenie odsetek"/>
    <x v="0"/>
    <n v="0"/>
    <n v="8"/>
    <n v="0"/>
    <n v="830"/>
    <s v="zrealizowana"/>
    <s v=""/>
  </r>
  <r>
    <n v="164"/>
    <s v="2022-07-01"/>
    <s v="naliczenie odsetek"/>
    <x v="0"/>
    <n v="0"/>
    <n v="8"/>
    <n v="0"/>
    <n v="1190"/>
    <s v="zrealizowana"/>
    <s v=""/>
  </r>
  <r>
    <n v="146"/>
    <s v="2020-09-28"/>
    <s v="naliczenie odsetek"/>
    <x v="1"/>
    <n v="0"/>
    <n v="5"/>
    <n v="0"/>
    <n v="480"/>
    <s v="zrealizowana"/>
    <s v=""/>
  </r>
  <r>
    <n v="158"/>
    <s v="2021-09-28"/>
    <s v="naliczenie odsetek"/>
    <x v="1"/>
    <n v="0"/>
    <n v="5"/>
    <n v="0"/>
    <n v="830"/>
    <s v="zrealizowana"/>
    <s v=""/>
  </r>
  <r>
    <n v="172"/>
    <s v="2022-09-28"/>
    <s v="naliczenie odsetek"/>
    <x v="1"/>
    <n v="0"/>
    <n v="5"/>
    <n v="0"/>
    <n v="1350"/>
    <s v="zrealizowana"/>
    <s v=""/>
  </r>
  <r>
    <n v="119"/>
    <s v="2019-12-30"/>
    <s v="naliczenie odsetek"/>
    <x v="2"/>
    <n v="0"/>
    <n v="8"/>
    <n v="0"/>
    <n v="220"/>
    <s v="zrealizowana"/>
    <s v=""/>
  </r>
  <r>
    <n v="122"/>
    <s v="2020-02-14"/>
    <s v="naliczenie odsetek"/>
    <x v="3"/>
    <n v="0"/>
    <n v="21"/>
    <n v="0"/>
    <n v="935"/>
    <s v="zrealizowana"/>
    <s v=""/>
  </r>
  <r>
    <n v="143"/>
    <s v="2020-08-14"/>
    <s v="naliczenie odsetek"/>
    <x v="3"/>
    <n v="0"/>
    <n v="21"/>
    <n v="0"/>
    <n v="450"/>
    <s v="zrealizowana"/>
    <s v=""/>
  </r>
  <r>
    <n v="149"/>
    <s v="2021-02-15"/>
    <s v="naliczenie odsetek"/>
    <x v="3"/>
    <n v="0"/>
    <n v="21"/>
    <n v="0"/>
    <n v="70"/>
    <s v="zrealizowana"/>
    <s v=""/>
  </r>
  <r>
    <n v="155"/>
    <s v="2021-08-16"/>
    <s v="naliczenie odsetek"/>
    <x v="3"/>
    <n v="0"/>
    <n v="21"/>
    <n v="0"/>
    <n v="65"/>
    <s v="zrealizowana"/>
    <s v=""/>
  </r>
  <r>
    <n v="161"/>
    <s v="2022-02-14"/>
    <s v="naliczenie odsetek"/>
    <x v="3"/>
    <n v="0"/>
    <n v="21"/>
    <n v="0"/>
    <n v="65"/>
    <s v="zrealizowana"/>
    <s v=""/>
  </r>
  <r>
    <n v="107"/>
    <s v=""/>
    <s v="odsetki"/>
    <x v="4"/>
    <n v="0"/>
    <s v=""/>
    <n v="0"/>
    <n v="40"/>
    <s v="zrealizowana"/>
    <s v=""/>
  </r>
  <r>
    <n v="127"/>
    <s v=""/>
    <s v="odsetki"/>
    <x v="2"/>
    <n v="0"/>
    <s v=""/>
    <n v="0"/>
    <n v="44"/>
    <s v="zrealizowana"/>
    <s v=""/>
  </r>
  <r>
    <n v="132"/>
    <s v=""/>
    <s v="odsetki"/>
    <x v="3"/>
    <n v="0"/>
    <s v=""/>
    <n v="0"/>
    <n v="10"/>
    <s v="zrealizowana"/>
    <s v=""/>
  </r>
  <r>
    <n v="137"/>
    <s v=""/>
    <s v="odsetki"/>
    <x v="3"/>
    <n v="0"/>
    <s v=""/>
    <n v="0"/>
    <n v="34.5"/>
    <s v="zrealizowana"/>
    <s v=""/>
  </r>
  <r>
    <n v="108"/>
    <s v=""/>
    <s v="opłata za przedterminowy wykup"/>
    <x v="4"/>
    <n v="0"/>
    <s v=""/>
    <n v="0"/>
    <n v="-40"/>
    <s v="zrealizowana"/>
    <s v=""/>
  </r>
  <r>
    <n v="128"/>
    <s v=""/>
    <s v="opłata za przedterminowy wykup"/>
    <x v="2"/>
    <n v="0"/>
    <s v=""/>
    <n v="0"/>
    <n v="-140"/>
    <s v="zrealizowana"/>
    <s v=""/>
  </r>
  <r>
    <n v="133"/>
    <s v=""/>
    <s v="opłata za przedterminowy wykup"/>
    <x v="3"/>
    <n v="0"/>
    <s v=""/>
    <n v="0"/>
    <n v="-140"/>
    <s v="zrealizowana"/>
    <s v=""/>
  </r>
  <r>
    <n v="138"/>
    <s v=""/>
    <s v="opłata za przedterminowy wykup"/>
    <x v="3"/>
    <n v="0"/>
    <s v=""/>
    <n v="0"/>
    <n v="-105"/>
    <s v="zrealizowana"/>
    <s v=""/>
  </r>
  <r>
    <n v="141"/>
    <s v="2020-07-08"/>
    <s v="podatek"/>
    <x v="0"/>
    <n v="0"/>
    <s v=""/>
    <n v="0"/>
    <n v="-91.2"/>
    <s v="zrealizowana"/>
    <s v=""/>
  </r>
  <r>
    <n v="153"/>
    <s v="2021-07-08"/>
    <s v="podatek"/>
    <x v="0"/>
    <n v="0"/>
    <s v=""/>
    <n v="0"/>
    <n v="-157.69999999999999"/>
    <s v="zrealizowana"/>
    <s v=""/>
  </r>
  <r>
    <n v="165"/>
    <s v="2022-07-08"/>
    <s v="podatek"/>
    <x v="0"/>
    <n v="0"/>
    <s v=""/>
    <n v="0"/>
    <n v="-226.1"/>
    <s v="zrealizowana"/>
    <s v=""/>
  </r>
  <r>
    <n v="177"/>
    <s v="2023-07-10"/>
    <s v="podatek"/>
    <x v="0"/>
    <n v="0"/>
    <s v=""/>
    <n v="0"/>
    <n v="-575.70000000000005"/>
    <s v="zrealizowana"/>
    <s v=""/>
  </r>
  <r>
    <n v="147"/>
    <s v="2020-10-05"/>
    <s v="podatek"/>
    <x v="1"/>
    <n v="0"/>
    <s v=""/>
    <n v="0"/>
    <n v="-91.2"/>
    <s v="zrealizowana"/>
    <s v=""/>
  </r>
  <r>
    <n v="159"/>
    <s v="2021-10-05"/>
    <s v="podatek"/>
    <x v="1"/>
    <n v="0"/>
    <s v=""/>
    <n v="0"/>
    <n v="-157.69999999999999"/>
    <s v="zrealizowana"/>
    <s v=""/>
  </r>
  <r>
    <n v="173"/>
    <s v="2022-10-05"/>
    <s v="podatek"/>
    <x v="1"/>
    <n v="0"/>
    <s v=""/>
    <n v="0"/>
    <n v="-256.5"/>
    <s v="zrealizowana"/>
    <s v=""/>
  </r>
  <r>
    <n v="182"/>
    <s v="2023-10-05"/>
    <s v="podatek"/>
    <x v="1"/>
    <n v="0"/>
    <s v=""/>
    <n v="0"/>
    <n v="-659.3"/>
    <s v="zrealizowana"/>
    <s v=""/>
  </r>
  <r>
    <n v="23"/>
    <s v="2006-02-22"/>
    <s v="podatek"/>
    <x v="5"/>
    <n v="0"/>
    <s v=""/>
    <n v="0"/>
    <n v="-5"/>
    <s v="zrealizowana"/>
    <s v=""/>
  </r>
  <r>
    <n v="28"/>
    <s v="2006-03-29"/>
    <s v="podatek"/>
    <x v="6"/>
    <n v="0"/>
    <s v=""/>
    <n v="0"/>
    <n v="-47"/>
    <s v="zrealizowana"/>
    <s v=""/>
  </r>
  <r>
    <n v="33"/>
    <s v="2006-06-07"/>
    <s v="podatek"/>
    <x v="7"/>
    <n v="0"/>
    <s v=""/>
    <n v="0"/>
    <n v="-79"/>
    <s v="zrealizowana"/>
    <s v=""/>
  </r>
  <r>
    <n v="38"/>
    <s v="2006-07-05"/>
    <s v="podatek"/>
    <x v="8"/>
    <n v="0"/>
    <s v=""/>
    <n v="0"/>
    <n v="-53"/>
    <s v="zrealizowana"/>
    <s v=""/>
  </r>
  <r>
    <n v="43"/>
    <s v="2006-08-03"/>
    <s v="podatek"/>
    <x v="9"/>
    <n v="0"/>
    <s v=""/>
    <n v="0"/>
    <n v="-41"/>
    <s v="zrealizowana"/>
    <s v=""/>
  </r>
  <r>
    <n v="48"/>
    <s v="2006-09-06"/>
    <s v="podatek"/>
    <x v="10"/>
    <n v="0"/>
    <s v=""/>
    <n v="0"/>
    <n v="-55"/>
    <s v="zrealizowana"/>
    <s v=""/>
  </r>
  <r>
    <n v="53"/>
    <s v="2006-10-04"/>
    <s v="podatek"/>
    <x v="11"/>
    <n v="0"/>
    <s v=""/>
    <n v="0"/>
    <n v="-55"/>
    <s v="zrealizowana"/>
    <s v=""/>
  </r>
  <r>
    <n v="58"/>
    <s v="2006-11-15"/>
    <s v="podatek"/>
    <x v="12"/>
    <n v="0"/>
    <s v=""/>
    <n v="0"/>
    <n v="-265"/>
    <s v="zrealizowana"/>
    <s v=""/>
  </r>
  <r>
    <n v="63"/>
    <s v="2006-12-13"/>
    <s v="podatek"/>
    <x v="13"/>
    <n v="0"/>
    <s v=""/>
    <n v="0"/>
    <n v="-191"/>
    <s v="zrealizowana"/>
    <s v=""/>
  </r>
  <r>
    <n v="84"/>
    <s v="2019-09-24"/>
    <s v="podatek"/>
    <x v="14"/>
    <n v="0"/>
    <s v=""/>
    <n v="0"/>
    <n v="-7.22"/>
    <s v="zrealizowana"/>
    <s v=""/>
  </r>
  <r>
    <n v="100"/>
    <s v="2019-10-08"/>
    <s v="podatek"/>
    <x v="15"/>
    <n v="0"/>
    <s v=""/>
    <n v="0"/>
    <n v="-14.44"/>
    <s v="zrealizowana"/>
    <s v=""/>
  </r>
  <r>
    <n v="116"/>
    <s v="2019-12-23"/>
    <s v="podatek"/>
    <x v="16"/>
    <n v="0"/>
    <s v=""/>
    <n v="0"/>
    <n v="-35.15"/>
    <s v="zrealizowana"/>
    <s v=""/>
  </r>
  <r>
    <n v="120"/>
    <s v="2020-01-08"/>
    <s v="podatek"/>
    <x v="2"/>
    <n v="0"/>
    <s v=""/>
    <n v="0"/>
    <n v="-41.8"/>
    <s v="zrealizowana"/>
    <s v=""/>
  </r>
  <r>
    <n v="124"/>
    <s v="2020-02-21"/>
    <s v="podatek"/>
    <x v="3"/>
    <n v="0"/>
    <s v=""/>
    <n v="0"/>
    <n v="-177.65"/>
    <s v="zrealizowana"/>
    <s v=""/>
  </r>
  <r>
    <n v="144"/>
    <s v="2020-08-21"/>
    <s v="podatek"/>
    <x v="3"/>
    <n v="0"/>
    <s v=""/>
    <n v="0"/>
    <n v="-85.5"/>
    <s v="zrealizowana"/>
    <s v=""/>
  </r>
  <r>
    <n v="150"/>
    <s v="2021-02-22"/>
    <s v="podatek"/>
    <x v="3"/>
    <n v="0"/>
    <s v=""/>
    <n v="0"/>
    <n v="-13.3"/>
    <s v="zrealizowana"/>
    <s v=""/>
  </r>
  <r>
    <n v="156"/>
    <s v="2021-08-23"/>
    <s v="podatek"/>
    <x v="3"/>
    <n v="0"/>
    <s v=""/>
    <n v="0"/>
    <n v="-12.35"/>
    <s v="zrealizowana"/>
    <s v=""/>
  </r>
  <r>
    <n v="162"/>
    <s v="2022-02-21"/>
    <s v="podatek"/>
    <x v="3"/>
    <n v="0"/>
    <s v=""/>
    <n v="0"/>
    <n v="-12.35"/>
    <s v="zrealizowana"/>
    <s v=""/>
  </r>
  <r>
    <n v="169"/>
    <s v="2022-08-22"/>
    <s v="podatek"/>
    <x v="3"/>
    <n v="0"/>
    <s v=""/>
    <n v="0"/>
    <n v="-152"/>
    <s v="zrealizowana"/>
    <s v=""/>
  </r>
  <r>
    <n v="176"/>
    <s v="2023-07-03"/>
    <s v="wykup - odsetki"/>
    <x v="0"/>
    <n v="4"/>
    <n v="8"/>
    <n v="0"/>
    <n v="3030"/>
    <s v="zrealizowana"/>
    <s v=""/>
  </r>
  <r>
    <n v="181"/>
    <s v="2023-09-28"/>
    <s v="wykup - odsetki"/>
    <x v="1"/>
    <n v="4"/>
    <n v="5"/>
    <n v="0"/>
    <n v="3470"/>
    <s v="zrealizowana"/>
    <s v=""/>
  </r>
  <r>
    <n v="22"/>
    <s v="2006-02-16"/>
    <s v="wykup - odsetki"/>
    <x v="5"/>
    <n v="2"/>
    <n v="22"/>
    <n v="0"/>
    <n v="24.72"/>
    <s v="zrealizowana"/>
    <s v=""/>
  </r>
  <r>
    <n v="27"/>
    <s v="2006-03-23"/>
    <s v="wykup - odsetki"/>
    <x v="6"/>
    <n v="2"/>
    <n v="30"/>
    <n v="0"/>
    <n v="247.2"/>
    <s v="zrealizowana"/>
    <s v=""/>
  </r>
  <r>
    <n v="32"/>
    <s v="2006-05-31"/>
    <s v="wykup - odsetki"/>
    <x v="7"/>
    <n v="2"/>
    <n v="7"/>
    <n v="0"/>
    <n v="415.5"/>
    <s v="zrealizowana"/>
    <s v=""/>
  </r>
  <r>
    <n v="37"/>
    <s v="2006-06-28"/>
    <s v="wykup - odsetki"/>
    <x v="8"/>
    <n v="2"/>
    <n v="5"/>
    <n v="0"/>
    <n v="277"/>
    <s v="zrealizowana"/>
    <s v=""/>
  </r>
  <r>
    <n v="42"/>
    <s v="2006-07-27"/>
    <s v="wykup - odsetki"/>
    <x v="9"/>
    <n v="2"/>
    <n v="2"/>
    <n v="0"/>
    <n v="217.35"/>
    <s v="zrealizowana"/>
    <s v=""/>
  </r>
  <r>
    <n v="47"/>
    <s v="2006-08-30"/>
    <s v="wykup - odsetki"/>
    <x v="10"/>
    <n v="2"/>
    <n v="6"/>
    <n v="0"/>
    <n v="289.8"/>
    <s v="zrealizowana"/>
    <s v=""/>
  </r>
  <r>
    <n v="52"/>
    <s v="2006-09-27"/>
    <s v="wykup - odsetki"/>
    <x v="11"/>
    <n v="2"/>
    <n v="4"/>
    <n v="0"/>
    <n v="289.8"/>
    <s v="zrealizowana"/>
    <s v=""/>
  </r>
  <r>
    <n v="57"/>
    <s v="2006-11-08"/>
    <s v="wykup - odsetki"/>
    <x v="12"/>
    <n v="2"/>
    <n v="15"/>
    <n v="0"/>
    <n v="1396"/>
    <s v="zrealizowana"/>
    <s v=""/>
  </r>
  <r>
    <n v="62"/>
    <s v="2006-12-06"/>
    <s v="wykup - odsetki"/>
    <x v="13"/>
    <n v="2"/>
    <n v="13"/>
    <n v="0"/>
    <n v="1006.5"/>
    <s v="zrealizowana"/>
    <s v=""/>
  </r>
  <r>
    <n v="81"/>
    <s v="2019-09-17"/>
    <s v="wykup - odsetki"/>
    <x v="14"/>
    <n v="1"/>
    <n v="24"/>
    <n v="0"/>
    <n v="38"/>
    <s v="zrealizowana"/>
    <s v=""/>
  </r>
  <r>
    <n v="87"/>
    <s v="2019-10-01"/>
    <s v="wykup - odsetki"/>
    <x v="15"/>
    <n v="1"/>
    <n v="8"/>
    <n v="0"/>
    <n v="76"/>
    <s v="zrealizowana"/>
    <s v=""/>
  </r>
  <r>
    <n v="115"/>
    <s v="2019-12-16"/>
    <s v="wykup - odsetki"/>
    <x v="16"/>
    <n v="1"/>
    <n v="23"/>
    <n v="0"/>
    <n v="185"/>
    <s v="zrealizowana"/>
    <s v=""/>
  </r>
  <r>
    <n v="168"/>
    <s v="2022-08-12"/>
    <s v="wykup - odsetki"/>
    <x v="3"/>
    <n v="6"/>
    <n v="21"/>
    <n v="0"/>
    <n v="800"/>
    <s v="zrealizowana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73"/>
    <s v="2019-07-08"/>
    <x v="0"/>
    <x v="0"/>
    <n v="2370"/>
    <n v="8"/>
    <n v="200"/>
    <n v="20000"/>
    <s v="zrealizowana"/>
    <s v=""/>
  </r>
  <r>
    <n v="179"/>
    <s v="2023-07-10"/>
    <x v="1"/>
    <x v="0"/>
    <n v="4"/>
    <n v="8"/>
    <n v="-200"/>
    <s v=""/>
    <s v="zrealizowana"/>
    <s v=""/>
  </r>
  <r>
    <n v="96"/>
    <s v="2019-10-05"/>
    <x v="0"/>
    <x v="1"/>
    <n v="2722"/>
    <n v="5"/>
    <n v="200"/>
    <n v="20000"/>
    <s v="zrealizowana"/>
    <s v=""/>
  </r>
  <r>
    <n v="184"/>
    <s v="2023-10-05"/>
    <x v="1"/>
    <x v="1"/>
    <n v="4"/>
    <n v="5"/>
    <n v="-200"/>
    <s v=""/>
    <s v="zrealizowana"/>
    <s v=""/>
  </r>
  <r>
    <n v="2"/>
    <s v="2004-02-23"/>
    <x v="0"/>
    <x v="2"/>
    <n v="17611"/>
    <n v="22"/>
    <n v="2"/>
    <n v="200"/>
    <s v="zrealizowana"/>
    <s v=""/>
  </r>
  <r>
    <n v="25"/>
    <s v="2006-02-22"/>
    <x v="1"/>
    <x v="2"/>
    <n v="2"/>
    <n v="22"/>
    <n v="-2"/>
    <s v=""/>
    <s v="zrealizowana"/>
    <s v=""/>
  </r>
  <r>
    <n v="4"/>
    <s v="2004-03-30"/>
    <x v="0"/>
    <x v="3"/>
    <n v="21818"/>
    <n v="30"/>
    <n v="20"/>
    <n v="2000"/>
    <s v="zrealizowana"/>
    <s v=""/>
  </r>
  <r>
    <n v="30"/>
    <s v="2006-03-29"/>
    <x v="1"/>
    <x v="3"/>
    <n v="2"/>
    <n v="30"/>
    <n v="-20"/>
    <s v=""/>
    <s v="zrealizowana"/>
    <s v=""/>
  </r>
  <r>
    <n v="6"/>
    <s v="2004-06-07"/>
    <x v="0"/>
    <x v="4"/>
    <n v="4900"/>
    <n v="7"/>
    <n v="30"/>
    <n v="3000"/>
    <s v="zrealizowana"/>
    <s v=""/>
  </r>
  <r>
    <n v="35"/>
    <s v="2006-06-07"/>
    <x v="1"/>
    <x v="4"/>
    <n v="2"/>
    <n v="7"/>
    <n v="-30"/>
    <s v=""/>
    <s v="zrealizowana"/>
    <s v=""/>
  </r>
  <r>
    <n v="8"/>
    <s v="2004-07-05"/>
    <x v="0"/>
    <x v="5"/>
    <n v="2487"/>
    <n v="5"/>
    <n v="20"/>
    <n v="2000"/>
    <s v="zrealizowana"/>
    <s v=""/>
  </r>
  <r>
    <n v="40"/>
    <s v="2006-07-05"/>
    <x v="1"/>
    <x v="5"/>
    <n v="2"/>
    <n v="5"/>
    <n v="-20"/>
    <s v=""/>
    <s v="zrealizowana"/>
    <s v=""/>
  </r>
  <r>
    <n v="10"/>
    <s v="2004-08-03"/>
    <x v="0"/>
    <x v="6"/>
    <n v="2382"/>
    <n v="2"/>
    <n v="15"/>
    <n v="1500"/>
    <s v="zrealizowana"/>
    <s v=""/>
  </r>
  <r>
    <n v="45"/>
    <s v="2006-08-03"/>
    <x v="1"/>
    <x v="6"/>
    <n v="2"/>
    <n v="2"/>
    <n v="-15"/>
    <s v=""/>
    <s v="zrealizowana"/>
    <s v=""/>
  </r>
  <r>
    <n v="12"/>
    <s v="2004-09-06"/>
    <x v="0"/>
    <x v="7"/>
    <n v="4275"/>
    <n v="6"/>
    <n v="20"/>
    <n v="2000"/>
    <s v="zrealizowana"/>
    <s v=""/>
  </r>
  <r>
    <n v="50"/>
    <s v="2006-09-06"/>
    <x v="1"/>
    <x v="7"/>
    <n v="2"/>
    <n v="6"/>
    <n v="-20"/>
    <s v=""/>
    <s v="zrealizowana"/>
    <s v=""/>
  </r>
  <r>
    <n v="14"/>
    <s v="2004-10-04"/>
    <x v="0"/>
    <x v="8"/>
    <n v="1213"/>
    <n v="4"/>
    <n v="20"/>
    <n v="2000"/>
    <s v="zrealizowana"/>
    <s v=""/>
  </r>
  <r>
    <n v="55"/>
    <s v="2006-10-04"/>
    <x v="1"/>
    <x v="8"/>
    <n v="2"/>
    <n v="4"/>
    <n v="-20"/>
    <s v=""/>
    <s v="zrealizowana"/>
    <s v=""/>
  </r>
  <r>
    <n v="91"/>
    <s v="2019-10-05"/>
    <x v="0"/>
    <x v="9"/>
    <n v="2742"/>
    <n v="5"/>
    <n v="200"/>
    <n v="20000"/>
    <s v="zrealizowana"/>
    <s v=""/>
  </r>
  <r>
    <n v="94"/>
    <s v="2019-10-05"/>
    <x v="0"/>
    <x v="9"/>
    <n v="2744"/>
    <n v="5"/>
    <n v="200"/>
    <n v="20000"/>
    <s v="zrealizowana"/>
    <s v=""/>
  </r>
  <r>
    <n v="103"/>
    <s v="2019-10-15"/>
    <x v="2"/>
    <x v="9"/>
    <n v="0"/>
    <n v="5"/>
    <n v="-400"/>
    <n v="0"/>
    <s v="zrealizowana"/>
    <s v=""/>
  </r>
  <r>
    <n v="16"/>
    <s v="2004-11-15"/>
    <x v="0"/>
    <x v="10"/>
    <n v="5468"/>
    <n v="15"/>
    <n v="100"/>
    <n v="10000"/>
    <s v="zrealizowana"/>
    <s v=""/>
  </r>
  <r>
    <n v="60"/>
    <s v="2006-11-15"/>
    <x v="1"/>
    <x v="10"/>
    <n v="2"/>
    <n v="15"/>
    <n v="-100"/>
    <s v=""/>
    <s v="zrealizowana"/>
    <s v=""/>
  </r>
  <r>
    <n v="18"/>
    <s v="2004-12-13"/>
    <x v="0"/>
    <x v="11"/>
    <n v="5716"/>
    <n v="13"/>
    <n v="75"/>
    <n v="7500"/>
    <s v="zrealizowana"/>
    <s v=""/>
  </r>
  <r>
    <n v="65"/>
    <s v="2006-12-13"/>
    <x v="1"/>
    <x v="11"/>
    <n v="2"/>
    <n v="13"/>
    <n v="-75"/>
    <s v=""/>
    <s v="zrealizowana"/>
    <s v=""/>
  </r>
  <r>
    <n v="99"/>
    <s v="2019-10-05"/>
    <x v="0"/>
    <x v="12"/>
    <n v="2033"/>
    <n v="5"/>
    <n v="500"/>
    <n v="50000"/>
    <s v="zrealizowana"/>
    <s v=""/>
  </r>
  <r>
    <n v="89"/>
    <s v="2019-10-05"/>
    <x v="0"/>
    <x v="13"/>
    <n v="2194"/>
    <n v="5"/>
    <n v="500"/>
    <n v="50000"/>
    <s v="zrealizowana"/>
    <s v=""/>
  </r>
  <r>
    <n v="105"/>
    <s v="2019-10-18"/>
    <x v="2"/>
    <x v="13"/>
    <n v="0"/>
    <n v="5"/>
    <n v="-500"/>
    <n v="0"/>
    <s v="zrealizowana"/>
    <s v=""/>
  </r>
  <r>
    <n v="67"/>
    <s v="2019-06-24"/>
    <x v="0"/>
    <x v="14"/>
    <n v="3658"/>
    <n v="24"/>
    <n v="100"/>
    <n v="10000"/>
    <s v="zrealizowana"/>
    <s v=""/>
  </r>
  <r>
    <n v="85"/>
    <s v="2019-09-24"/>
    <x v="1"/>
    <x v="14"/>
    <n v="1"/>
    <n v="24"/>
    <n v="-100"/>
    <s v=""/>
    <s v="zrealizowana"/>
    <s v=""/>
  </r>
  <r>
    <n v="69"/>
    <s v="2019-07-08"/>
    <x v="0"/>
    <x v="15"/>
    <n v="2882"/>
    <n v="8"/>
    <n v="200"/>
    <n v="20000"/>
    <s v="zrealizowana"/>
    <s v=""/>
  </r>
  <r>
    <n v="101"/>
    <s v="2019-10-08"/>
    <x v="1"/>
    <x v="15"/>
    <n v="1"/>
    <n v="8"/>
    <n v="-200"/>
    <s v=""/>
    <s v="zrealizowana"/>
    <s v=""/>
  </r>
  <r>
    <n v="75"/>
    <s v="2019-08-21"/>
    <x v="0"/>
    <x v="16"/>
    <n v="5120"/>
    <n v="21"/>
    <n v="500"/>
    <n v="50000"/>
    <s v="zrealizowana"/>
    <s v=""/>
  </r>
  <r>
    <n v="104"/>
    <s v="2019-10-18"/>
    <x v="2"/>
    <x v="16"/>
    <n v="0"/>
    <n v="21"/>
    <n v="-500"/>
    <n v="0"/>
    <s v="zrealizowana"/>
    <s v=""/>
  </r>
  <r>
    <n v="83"/>
    <s v="2019-09-23"/>
    <x v="0"/>
    <x v="17"/>
    <n v="5035"/>
    <n v="23"/>
    <n v="500"/>
    <n v="50000"/>
    <s v="zrealizowana"/>
    <s v=""/>
  </r>
  <r>
    <n v="118"/>
    <s v="2019-12-23"/>
    <x v="1"/>
    <x v="17"/>
    <n v="1"/>
    <n v="23"/>
    <n v="-500"/>
    <s v=""/>
    <s v="zrealizowana"/>
    <s v=""/>
  </r>
  <r>
    <n v="71"/>
    <s v="2019-07-08"/>
    <x v="0"/>
    <x v="18"/>
    <n v="356"/>
    <n v="8"/>
    <n v="200"/>
    <n v="20000"/>
    <s v="zrealizowana"/>
    <s v=""/>
  </r>
  <r>
    <n v="123"/>
    <s v="2020-02-16"/>
    <x v="2"/>
    <x v="18"/>
    <n v="0"/>
    <n v="8"/>
    <n v="-200"/>
    <n v="0"/>
    <s v="zrealizowana"/>
    <s v=""/>
  </r>
  <r>
    <n v="79"/>
    <s v="2019-08-21"/>
    <x v="0"/>
    <x v="19"/>
    <n v="702"/>
    <n v="21"/>
    <n v="350"/>
    <n v="35000"/>
    <s v="zrealizowana"/>
    <s v=""/>
  </r>
  <r>
    <n v="77"/>
    <s v="2019-08-21"/>
    <x v="0"/>
    <x v="19"/>
    <n v="701"/>
    <n v="21"/>
    <n v="500"/>
    <n v="50000"/>
    <s v="zrealizowana"/>
    <s v=""/>
  </r>
  <r>
    <n v="130"/>
    <s v="2020-02-24"/>
    <x v="2"/>
    <x v="19"/>
    <n v="0"/>
    <n v="21"/>
    <n v="-200"/>
    <n v="0"/>
    <s v="zrealizowana"/>
    <s v=""/>
  </r>
  <r>
    <n v="135"/>
    <s v="2020-04-01"/>
    <x v="2"/>
    <x v="19"/>
    <n v="0"/>
    <n v="21"/>
    <n v="-150"/>
    <n v="0"/>
    <s v="zrealizowana"/>
    <s v=""/>
  </r>
  <r>
    <n v="171"/>
    <s v="2022-08-22"/>
    <x v="1"/>
    <x v="19"/>
    <n v="6"/>
    <n v="21"/>
    <n v="-500"/>
    <s v=""/>
    <s v="zrealizowana"/>
    <s v=""/>
  </r>
  <r>
    <n v="20"/>
    <s v="2005-03-29"/>
    <x v="0"/>
    <x v="20"/>
    <n v="10146"/>
    <n v="0"/>
    <n v="20"/>
    <n v="2028.4"/>
    <s v="zrealizowana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5ED49-EBB0-4DD0-88AB-713D8633E50A}" name="Tabela przestawna10" cacheId="2" dataOnRows="1" applyNumberFormats="0" applyBorderFormats="0" applyFontFormats="0" applyPatternFormats="0" applyAlignmentFormats="0" applyWidthHeightFormats="1" dataCaption="Dane" updatedVersion="8" minRefreshableVersion="3" showMemberPropertyTips="0" useAutoFormatting="1" itemPrintTitles="1" createdVersion="8" indent="0" compact="0" compactData="0" gridDropZones="1">
  <location ref="A3:E26" firstHeaderRow="1" firstDataRow="2" firstDataCol="1"/>
  <pivotFields count="10"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x="2"/>
        <item x="1"/>
        <item x="0"/>
        <item t="default"/>
      </items>
    </pivotField>
    <pivotField axis="axisRow" compact="0" outline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z LICZBA OBLIGACJI" fld="6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ADA26-C049-404E-94D9-EE8B49929073}" name="Tabela przestawna7" cacheId="1" dataOnRows="1" applyNumberFormats="0" applyBorderFormats="0" applyFontFormats="0" applyPatternFormats="0" applyAlignmentFormats="0" applyWidthHeightFormats="1" dataCaption="Dane" updatedVersion="8" minRefreshableVersion="3" showMemberPropertyTips="0" useAutoFormatting="1" itemPrintTitles="1" createdVersion="8" indent="0" compact="0" compactData="0" gridDropZones="1">
  <location ref="A3:B22" firstHeaderRow="2" firstDataRow="2" firstDataCol="1"/>
  <pivotFields count="10"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1">
        <item x="0"/>
        <item x="1"/>
        <item x="5"/>
        <item x="6"/>
        <item x="7"/>
        <item x="8"/>
        <item x="9"/>
        <item x="10"/>
        <item x="11"/>
        <item x="4"/>
        <item x="12"/>
        <item x="13"/>
        <item m="1" x="18"/>
        <item x="14"/>
        <item x="15"/>
        <item m="1" x="19"/>
        <item x="16"/>
        <item x="2"/>
        <item x="3"/>
        <item m="1" x="1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4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 t="grand">
      <x/>
    </i>
  </rowItems>
  <colItems count="1">
    <i/>
  </colItems>
  <dataFields count="1">
    <dataField name="Suma z KWOTA OPERACJI" fld="7" baseField="0" baseItem="0" numFmtId="4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7BF7C-C877-4080-8C30-FB4235E41E04}" name="Tabela przestawna12" cacheId="0" dataOnRows="1" applyNumberFormats="0" applyBorderFormats="0" applyFontFormats="0" applyPatternFormats="0" applyAlignmentFormats="0" applyWidthHeightFormats="1" dataCaption="Dane" updatedVersion="8" minRefreshableVersion="3" showMemberPropertyTips="0" useAutoFormatting="1" itemPrintTitles="1" createdVersion="8" indent="0" compact="0" compactData="0" gridDropZones="1">
  <location ref="F3:J26" firstHeaderRow="1" firstDataRow="2" firstDataCol="1"/>
  <pivotFields count="12"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6">
        <item x="0"/>
        <item m="1" x="4"/>
        <item x="1"/>
        <item x="2"/>
        <item m="1" x="3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 includeNewItemsInFilter="1">
      <items count="23"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4" outline="0" showAll="0" includeNewItemsInFilter="1"/>
    <pivotField compact="0" numFmtId="4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uma z KWOTA OPERACJI" fld="8" baseField="0" baseItem="0" numFmtId="4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F02DF-416B-45CC-9EF0-9D9DFCC40384}" name="Tabela przestawna9" cacheId="0" dataOnRows="1" applyNumberFormats="0" applyBorderFormats="0" applyFontFormats="0" applyPatternFormats="0" applyAlignmentFormats="0" applyWidthHeightFormats="1" dataCaption="Dane" updatedVersion="8" minRefreshableVersion="3" showMemberPropertyTips="0" useAutoFormatting="1" itemPrintTitles="1" createdVersion="8" indent="0" compact="0" compactData="0" gridDropZones="1">
  <location ref="A3:D26" firstHeaderRow="1" firstDataRow="2" firstDataCol="1"/>
  <pivotFields count="12">
    <pivotField compact="0" outline="0" showAll="0" includeNewItemsInFilter="1"/>
    <pivotField compact="0" outline="0" showAll="0" includeNewItemsInFilter="1"/>
    <pivotField compact="0" outline="0" showAll="0" includeNewItemsInFilter="1">
      <items count="6">
        <item x="0"/>
        <item m="1" x="4"/>
        <item x="1"/>
        <item x="2"/>
        <item m="1"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 includeNewItemsInFilter="1">
      <items count="23"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4" outline="0" showAll="0" includeNewItemsInFilter="1"/>
    <pivotField compact="0" numFmtId="4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z KWOTA OPERACJI" fld="8" baseField="0" baseItem="0" numFmtId="4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166A5-049C-4B61-82E4-DC2C463F079E}" name="Tabela1" displayName="Tabela1" ref="A1:J185" totalsRowShown="0" headerRowDxfId="48">
  <autoFilter ref="A1:J185" xr:uid="{3DA166A5-049C-4B61-82E4-DC2C463F079E}">
    <filterColumn colId="3">
      <filters>
        <filter val="EDO1029"/>
      </filters>
    </filterColumn>
  </autoFilter>
  <sortState xmlns:xlrd2="http://schemas.microsoft.com/office/spreadsheetml/2017/richdata2" ref="A2:J185">
    <sortCondition ref="D77:D185"/>
  </sortState>
  <tableColumns count="10">
    <tableColumn id="1" xr3:uid="{EEF13843-4BFB-437C-9E31-B26F1598B605}" name="lp"/>
    <tableColumn id="2" xr3:uid="{F92A6E53-7DFA-4B07-A196-596376E936B2}" name="DATA DYSPOZYCJI" dataDxfId="47"/>
    <tableColumn id="3" xr3:uid="{EE48AC15-2C0C-47D7-97D2-4821AA6950C8}" name="RODZAJ DYSPOZYCJI" dataDxfId="46"/>
    <tableColumn id="4" xr3:uid="{0A40A8F9-D3BB-43E0-BE99-438F6D19EA83}" name="KOD OBLIGACJI" dataDxfId="45"/>
    <tableColumn id="5" xr3:uid="{B96AD560-2B48-4193-8C6D-D323BE9E5AFC}" name="NR ZAPISU" dataDxfId="44"/>
    <tableColumn id="6" xr3:uid="{181D23E0-8001-4541-970E-C31B69B020F1}" name="SERIA" dataDxfId="43"/>
    <tableColumn id="7" xr3:uid="{34D5B6AC-0675-4626-8A1D-88E2A275012C}" name="LICZBA OBLIGACJI" dataDxfId="42"/>
    <tableColumn id="8" xr3:uid="{9DF13EC2-4D14-4FC4-A1F9-81AC05094327}" name="KWOTA OPERACJI" dataDxfId="41"/>
    <tableColumn id="9" xr3:uid="{5B7ACCF3-807A-4703-BCCF-0E71963CB9FB}" name="STATUS" dataDxfId="40"/>
    <tableColumn id="10" xr3:uid="{9D5BE67C-5BB9-4E78-8A53-6285E33BA258}" name="UWAGI" dataDxfId="3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01E13A-336E-4E52-96E6-2F5A9B798A7B}" name="Tabela13" displayName="Tabela13" ref="A1:J45" totalsRowShown="0" headerRowDxfId="1" dataDxfId="0">
  <autoFilter ref="A1:J45" xr:uid="{3DA166A5-049C-4B61-82E4-DC2C463F079E}"/>
  <sortState xmlns:xlrd2="http://schemas.microsoft.com/office/spreadsheetml/2017/richdata2" ref="A2:J45">
    <sortCondition ref="D2:D45"/>
    <sortCondition ref="B2:B45"/>
  </sortState>
  <tableColumns count="10">
    <tableColumn id="1" xr3:uid="{A9F9887B-61ED-4200-A87F-86A155EAD4C8}" name="lp" dataDxfId="11"/>
    <tableColumn id="2" xr3:uid="{99B10F29-5B0B-4CB2-9A98-2968B4CA7C1D}" name="DATA DYSPOZYCJI" dataDxfId="10"/>
    <tableColumn id="3" xr3:uid="{E6E21C59-3854-4220-991B-6460E0788CCA}" name="RODZAJ DYSPOZYCJI" dataDxfId="9"/>
    <tableColumn id="4" xr3:uid="{DE744563-0C28-44A8-8724-58C67AA28EE0}" name="KOD OBLIGACJI" dataDxfId="8"/>
    <tableColumn id="5" xr3:uid="{B4080C65-A175-4E37-8786-CF43A104F73C}" name="NR ZAPISU" dataDxfId="7"/>
    <tableColumn id="6" xr3:uid="{1557A478-0A00-48BF-9C2A-CD45D34E1A4C}" name="SERIA" dataDxfId="6"/>
    <tableColumn id="7" xr3:uid="{3E7D4621-2D95-4121-A985-517A40A87A66}" name="LICZBA OBLIGACJI" dataDxfId="5"/>
    <tableColumn id="8" xr3:uid="{6ED3555F-ABA4-405C-A8F0-3D268EBA6DF4}" name="KWOTA OPERACJI" dataDxfId="4"/>
    <tableColumn id="9" xr3:uid="{156014A6-8126-45E4-8F54-DBFEA64957F4}" name="STATUS" dataDxfId="3"/>
    <tableColumn id="10" xr3:uid="{30C21103-4894-40FE-8CE4-D41086D78CFB}" name="UWAGI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96F202-450A-4A2E-B851-80B37820A1D0}" name="Tabela14" displayName="Tabela14" ref="A1:J63" totalsRowShown="0" headerRowDxfId="38" dataDxfId="37">
  <autoFilter ref="A1:J63" xr:uid="{3DA166A5-049C-4B61-82E4-DC2C463F079E}"/>
  <sortState xmlns:xlrd2="http://schemas.microsoft.com/office/spreadsheetml/2017/richdata2" ref="A2:J63">
    <sortCondition ref="C34:C63"/>
  </sortState>
  <tableColumns count="10">
    <tableColumn id="1" xr3:uid="{1E7FD17F-EF3D-44E9-B5DE-C8B916CA7AB0}" name="lp" dataDxfId="36"/>
    <tableColumn id="2" xr3:uid="{0AA5B426-0508-47DC-B37C-C6D1AE46A676}" name="DATA DYSPOZYCJI" dataDxfId="35"/>
    <tableColumn id="3" xr3:uid="{D59AA556-C1BB-4425-9389-D79ABB23CBB7}" name="RODZAJ DYSPOZYCJI" dataDxfId="34"/>
    <tableColumn id="4" xr3:uid="{E47E843A-F467-4C93-B7C2-7CA42B1C4E16}" name="KOD OBLIGACJI" dataDxfId="33"/>
    <tableColumn id="5" xr3:uid="{435432C7-52E5-4612-8705-31CB40675A98}" name="NR ZAPISU" dataDxfId="32"/>
    <tableColumn id="6" xr3:uid="{1E83FF8E-668D-40DA-864C-6B63A61BFB92}" name="SERIA" dataDxfId="31"/>
    <tableColumn id="7" xr3:uid="{B4AE61EF-7DC1-44E3-AE37-6D659B0B6DC6}" name="LICZBA OBLIGACJI" dataDxfId="30"/>
    <tableColumn id="8" xr3:uid="{3C7F9B70-F49F-437E-94DD-BBB7ABAB57DA}" name="KWOTA OPERACJI" dataDxfId="29"/>
    <tableColumn id="9" xr3:uid="{D66611B7-2890-4A8E-8F2A-86F3FC6E6F28}" name="STATUS" dataDxfId="28"/>
    <tableColumn id="10" xr3:uid="{CC71CA0C-6B35-4F5C-9BE0-C6D55133D10D}" name="UWAGI" dataDxfId="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4A0750-79A2-4F48-831B-8A6F65C04C77}" name="Tabela4" displayName="Tabela4" ref="A1:L61" totalsRowShown="0" headerRowDxfId="26" headerRowBorderDxfId="25" tableBorderDxfId="24">
  <autoFilter ref="A1:L61" xr:uid="{404A0750-79A2-4F48-831B-8A6F65C04C77}"/>
  <sortState xmlns:xlrd2="http://schemas.microsoft.com/office/spreadsheetml/2017/richdata2" ref="A2:L61">
    <sortCondition ref="C7:C61"/>
  </sortState>
  <tableColumns count="12">
    <tableColumn id="1" xr3:uid="{A1410192-A019-49D9-BF75-743BAAFB650A}" name="lp" dataDxfId="23"/>
    <tableColumn id="2" xr3:uid="{E91FC356-D6F9-4D48-B06A-1E34AE02A1EB}" name="DATA DYSPOZYCJI" dataDxfId="22"/>
    <tableColumn id="3" xr3:uid="{47881D32-7622-47C8-A0B3-304F8051D4B1}" name="RODZAJ DYSPOZYCJI" dataDxfId="21"/>
    <tableColumn id="12" xr3:uid="{B09DCF0E-A0ED-4D61-BDD4-F4812ED76A03}" name="RODZAJ DYSPOZYCJI2" dataDxfId="20"/>
    <tableColumn id="4" xr3:uid="{1305D28F-3B29-4FA4-9F26-28CCF5F2A709}" name="KOD OBLIGACJI" dataDxfId="19"/>
    <tableColumn id="5" xr3:uid="{6161B38E-AB72-4FB2-82D8-149A8E1B901C}" name="NR ZAPISU" dataDxfId="18"/>
    <tableColumn id="6" xr3:uid="{E92DAD48-81DA-46DE-8E63-1C0CD7021424}" name="SERIA" dataDxfId="17"/>
    <tableColumn id="7" xr3:uid="{E71D23D5-B662-441A-AA56-4D0C720C3997}" name="LICZBA OBLIGACJI" dataDxfId="16"/>
    <tableColumn id="8" xr3:uid="{E4CEE64C-26DF-4F3D-A2DF-959020DA85A9}" name="KWOTA OPERACJI" dataDxfId="15"/>
    <tableColumn id="11" xr3:uid="{2E966797-CF87-4FBB-97F5-ABB37DB2392C}" name="CF" dataDxfId="14">
      <calculatedColumnFormula>-I2</calculatedColumnFormula>
    </tableColumn>
    <tableColumn id="9" xr3:uid="{FB1B1BE8-807A-4099-8EF4-9B270EB34121}" name="STATUS" dataDxfId="13"/>
    <tableColumn id="10" xr3:uid="{18D4537A-0AE3-4D2A-9EDF-29E03447074D}" name="UWAGI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0E5C-C08A-4FBA-9F64-10C123D29651}">
  <dimension ref="A1:J185"/>
  <sheetViews>
    <sheetView tabSelected="1" workbookViewId="0">
      <selection activeCell="B1" sqref="B1"/>
    </sheetView>
  </sheetViews>
  <sheetFormatPr defaultRowHeight="12.5" x14ac:dyDescent="0.25"/>
  <cols>
    <col min="2" max="2" width="19.08984375" customWidth="1"/>
    <col min="3" max="3" width="32.453125" customWidth="1"/>
    <col min="4" max="4" width="16.81640625" customWidth="1"/>
    <col min="5" max="5" width="12.26953125" customWidth="1"/>
    <col min="6" max="6" width="8.1796875" customWidth="1"/>
    <col min="7" max="7" width="19.26953125" customWidth="1"/>
    <col min="8" max="8" width="19" customWidth="1"/>
    <col min="9" max="9" width="11.54296875" customWidth="1"/>
    <col min="10" max="10" width="63.26953125" customWidth="1"/>
  </cols>
  <sheetData>
    <row r="1" spans="1:10" ht="13" x14ac:dyDescent="0.3">
      <c r="A1" t="s">
        <v>135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hidden="1" x14ac:dyDescent="0.25">
      <c r="A2">
        <v>102</v>
      </c>
      <c r="B2" s="5" t="s">
        <v>76</v>
      </c>
      <c r="C2" s="5" t="s">
        <v>77</v>
      </c>
      <c r="D2" s="5" t="s">
        <v>4</v>
      </c>
      <c r="E2" s="6">
        <v>0</v>
      </c>
      <c r="F2" s="6" t="s">
        <v>4</v>
      </c>
      <c r="G2" s="6">
        <v>0</v>
      </c>
      <c r="H2" s="7">
        <v>270000</v>
      </c>
      <c r="I2" s="5" t="s">
        <v>3</v>
      </c>
      <c r="J2" s="5" t="s">
        <v>78</v>
      </c>
    </row>
    <row r="3" spans="1:10" hidden="1" x14ac:dyDescent="0.25">
      <c r="A3">
        <v>72</v>
      </c>
      <c r="B3" s="5" t="s">
        <v>57</v>
      </c>
      <c r="C3" s="5" t="s">
        <v>1</v>
      </c>
      <c r="D3" s="5" t="s">
        <v>60</v>
      </c>
      <c r="E3" s="6">
        <v>2370</v>
      </c>
      <c r="F3" s="6">
        <v>8</v>
      </c>
      <c r="G3" s="6">
        <v>200</v>
      </c>
      <c r="H3" s="7">
        <v>20000</v>
      </c>
      <c r="I3" s="5" t="s">
        <v>3</v>
      </c>
      <c r="J3" s="5" t="s">
        <v>4</v>
      </c>
    </row>
    <row r="4" spans="1:10" hidden="1" x14ac:dyDescent="0.25">
      <c r="A4">
        <v>140</v>
      </c>
      <c r="B4" s="5" t="s">
        <v>97</v>
      </c>
      <c r="C4" t="s">
        <v>136</v>
      </c>
      <c r="D4" s="5" t="s">
        <v>60</v>
      </c>
      <c r="E4" s="6">
        <v>0</v>
      </c>
      <c r="F4" s="6">
        <v>8</v>
      </c>
      <c r="G4" s="6">
        <v>0</v>
      </c>
      <c r="H4" s="7">
        <v>480</v>
      </c>
      <c r="I4" s="5" t="s">
        <v>3</v>
      </c>
      <c r="J4" s="5" t="s">
        <v>4</v>
      </c>
    </row>
    <row r="5" spans="1:10" hidden="1" x14ac:dyDescent="0.25">
      <c r="A5">
        <v>152</v>
      </c>
      <c r="B5" s="5" t="s">
        <v>105</v>
      </c>
      <c r="C5" t="s">
        <v>136</v>
      </c>
      <c r="D5" s="5" t="s">
        <v>60</v>
      </c>
      <c r="E5" s="6">
        <v>0</v>
      </c>
      <c r="F5" s="6">
        <v>8</v>
      </c>
      <c r="G5" s="6">
        <v>0</v>
      </c>
      <c r="H5" s="7">
        <v>830</v>
      </c>
      <c r="I5" s="5" t="s">
        <v>3</v>
      </c>
      <c r="J5" s="5" t="s">
        <v>4</v>
      </c>
    </row>
    <row r="6" spans="1:10" hidden="1" x14ac:dyDescent="0.25">
      <c r="A6">
        <v>164</v>
      </c>
      <c r="B6" s="5" t="s">
        <v>113</v>
      </c>
      <c r="C6" t="s">
        <v>136</v>
      </c>
      <c r="D6" s="5" t="s">
        <v>60</v>
      </c>
      <c r="E6" s="6">
        <v>0</v>
      </c>
      <c r="F6" s="6">
        <v>8</v>
      </c>
      <c r="G6" s="6">
        <v>0</v>
      </c>
      <c r="H6" s="7">
        <v>1190</v>
      </c>
      <c r="I6" s="5" t="s">
        <v>3</v>
      </c>
      <c r="J6" s="5" t="s">
        <v>4</v>
      </c>
    </row>
    <row r="7" spans="1:10" hidden="1" x14ac:dyDescent="0.25">
      <c r="A7">
        <v>175</v>
      </c>
      <c r="B7" s="1" t="s">
        <v>119</v>
      </c>
      <c r="C7" t="s">
        <v>137</v>
      </c>
      <c r="D7" s="1" t="s">
        <v>60</v>
      </c>
      <c r="E7" s="3">
        <v>4</v>
      </c>
      <c r="F7" s="3">
        <v>8</v>
      </c>
      <c r="G7" s="3">
        <v>0</v>
      </c>
      <c r="H7" s="4">
        <v>20000</v>
      </c>
      <c r="I7" s="1" t="s">
        <v>3</v>
      </c>
      <c r="J7" s="1" t="s">
        <v>4</v>
      </c>
    </row>
    <row r="8" spans="1:10" hidden="1" x14ac:dyDescent="0.25">
      <c r="A8">
        <v>141</v>
      </c>
      <c r="B8" s="1" t="s">
        <v>98</v>
      </c>
      <c r="C8" s="1" t="s">
        <v>36</v>
      </c>
      <c r="D8" s="1" t="s">
        <v>60</v>
      </c>
      <c r="E8" s="3">
        <v>0</v>
      </c>
      <c r="F8" s="3" t="s">
        <v>4</v>
      </c>
      <c r="G8" s="3">
        <v>0</v>
      </c>
      <c r="H8" s="4">
        <v>-91.2</v>
      </c>
      <c r="I8" s="1" t="s">
        <v>3</v>
      </c>
      <c r="J8" s="1" t="s">
        <v>4</v>
      </c>
    </row>
    <row r="9" spans="1:10" hidden="1" x14ac:dyDescent="0.25">
      <c r="A9">
        <v>153</v>
      </c>
      <c r="B9" s="1" t="s">
        <v>106</v>
      </c>
      <c r="C9" s="1" t="s">
        <v>36</v>
      </c>
      <c r="D9" s="1" t="s">
        <v>60</v>
      </c>
      <c r="E9" s="3">
        <v>0</v>
      </c>
      <c r="F9" s="3" t="s">
        <v>4</v>
      </c>
      <c r="G9" s="3">
        <v>0</v>
      </c>
      <c r="H9" s="4">
        <v>-157.69999999999999</v>
      </c>
      <c r="I9" s="1" t="s">
        <v>3</v>
      </c>
      <c r="J9" s="1" t="s">
        <v>4</v>
      </c>
    </row>
    <row r="10" spans="1:10" hidden="1" x14ac:dyDescent="0.25">
      <c r="A10">
        <v>165</v>
      </c>
      <c r="B10" s="1" t="s">
        <v>114</v>
      </c>
      <c r="C10" s="1" t="s">
        <v>36</v>
      </c>
      <c r="D10" s="1" t="s">
        <v>60</v>
      </c>
      <c r="E10" s="3">
        <v>0</v>
      </c>
      <c r="F10" s="3" t="s">
        <v>4</v>
      </c>
      <c r="G10" s="3">
        <v>0</v>
      </c>
      <c r="H10" s="4">
        <v>-226.1</v>
      </c>
      <c r="I10" s="1" t="s">
        <v>3</v>
      </c>
      <c r="J10" s="1" t="s">
        <v>4</v>
      </c>
    </row>
    <row r="11" spans="1:10" hidden="1" x14ac:dyDescent="0.25">
      <c r="A11">
        <v>177</v>
      </c>
      <c r="B11" s="1" t="s">
        <v>120</v>
      </c>
      <c r="C11" s="1" t="s">
        <v>36</v>
      </c>
      <c r="D11" s="1" t="s">
        <v>60</v>
      </c>
      <c r="E11" s="3">
        <v>0</v>
      </c>
      <c r="F11" s="3" t="s">
        <v>4</v>
      </c>
      <c r="G11" s="3">
        <v>0</v>
      </c>
      <c r="H11" s="4">
        <v>-575.70000000000005</v>
      </c>
      <c r="I11" s="1" t="s">
        <v>3</v>
      </c>
      <c r="J11" s="1" t="s">
        <v>4</v>
      </c>
    </row>
    <row r="12" spans="1:10" hidden="1" x14ac:dyDescent="0.25">
      <c r="A12">
        <v>176</v>
      </c>
      <c r="B12" s="5" t="s">
        <v>119</v>
      </c>
      <c r="C12" s="5" t="s">
        <v>34</v>
      </c>
      <c r="D12" s="5" t="s">
        <v>60</v>
      </c>
      <c r="E12" s="6">
        <v>4</v>
      </c>
      <c r="F12" s="6">
        <v>8</v>
      </c>
      <c r="G12" s="6">
        <v>0</v>
      </c>
      <c r="H12" s="7">
        <v>3030</v>
      </c>
      <c r="I12" s="5" t="s">
        <v>3</v>
      </c>
      <c r="J12" s="5" t="s">
        <v>4</v>
      </c>
    </row>
    <row r="13" spans="1:10" hidden="1" x14ac:dyDescent="0.25">
      <c r="A13">
        <v>179</v>
      </c>
      <c r="B13" s="1" t="s">
        <v>120</v>
      </c>
      <c r="C13" s="1" t="s">
        <v>38</v>
      </c>
      <c r="D13" s="1" t="s">
        <v>60</v>
      </c>
      <c r="E13" s="3">
        <v>4</v>
      </c>
      <c r="F13" s="3">
        <v>8</v>
      </c>
      <c r="G13" s="3">
        <v>-200</v>
      </c>
      <c r="H13" s="4" t="s">
        <v>4</v>
      </c>
      <c r="I13" s="1" t="s">
        <v>3</v>
      </c>
      <c r="J13" s="1" t="s">
        <v>4</v>
      </c>
    </row>
    <row r="14" spans="1:10" hidden="1" x14ac:dyDescent="0.25">
      <c r="A14">
        <v>142</v>
      </c>
      <c r="B14" s="5" t="s">
        <v>98</v>
      </c>
      <c r="C14" s="5" t="s">
        <v>37</v>
      </c>
      <c r="D14" s="5" t="s">
        <v>60</v>
      </c>
      <c r="E14" s="6">
        <v>0</v>
      </c>
      <c r="F14" s="6" t="s">
        <v>4</v>
      </c>
      <c r="G14" s="6">
        <v>0</v>
      </c>
      <c r="H14" s="7">
        <v>-388.8</v>
      </c>
      <c r="I14" s="5" t="s">
        <v>3</v>
      </c>
      <c r="J14" s="5" t="s">
        <v>4</v>
      </c>
    </row>
    <row r="15" spans="1:10" hidden="1" x14ac:dyDescent="0.25">
      <c r="A15">
        <v>154</v>
      </c>
      <c r="B15" s="5" t="s">
        <v>106</v>
      </c>
      <c r="C15" s="5" t="s">
        <v>37</v>
      </c>
      <c r="D15" s="5" t="s">
        <v>60</v>
      </c>
      <c r="E15" s="6">
        <v>0</v>
      </c>
      <c r="F15" s="6" t="s">
        <v>4</v>
      </c>
      <c r="G15" s="6">
        <v>0</v>
      </c>
      <c r="H15" s="7">
        <v>-672.3</v>
      </c>
      <c r="I15" s="5" t="s">
        <v>3</v>
      </c>
      <c r="J15" s="5" t="s">
        <v>4</v>
      </c>
    </row>
    <row r="16" spans="1:10" hidden="1" x14ac:dyDescent="0.25">
      <c r="A16">
        <v>166</v>
      </c>
      <c r="B16" s="5" t="s">
        <v>114</v>
      </c>
      <c r="C16" s="5" t="s">
        <v>37</v>
      </c>
      <c r="D16" s="5" t="s">
        <v>60</v>
      </c>
      <c r="E16" s="6">
        <v>0</v>
      </c>
      <c r="F16" s="6" t="s">
        <v>4</v>
      </c>
      <c r="G16" s="6">
        <v>0</v>
      </c>
      <c r="H16" s="7">
        <v>-963.9</v>
      </c>
      <c r="I16" s="5" t="s">
        <v>3</v>
      </c>
      <c r="J16" s="5" t="s">
        <v>4</v>
      </c>
    </row>
    <row r="17" spans="1:10" hidden="1" x14ac:dyDescent="0.25">
      <c r="A17">
        <v>178</v>
      </c>
      <c r="B17" s="5" t="s">
        <v>120</v>
      </c>
      <c r="C17" s="5" t="s">
        <v>37</v>
      </c>
      <c r="D17" s="5" t="s">
        <v>60</v>
      </c>
      <c r="E17" s="6">
        <v>0</v>
      </c>
      <c r="F17" s="6" t="s">
        <v>4</v>
      </c>
      <c r="G17" s="6">
        <v>0</v>
      </c>
      <c r="H17" s="7">
        <v>-22454.3</v>
      </c>
      <c r="I17" s="5" t="s">
        <v>3</v>
      </c>
      <c r="J17" s="5" t="s">
        <v>4</v>
      </c>
    </row>
    <row r="18" spans="1:10" hidden="1" x14ac:dyDescent="0.25">
      <c r="A18">
        <v>73</v>
      </c>
      <c r="B18" s="1" t="s">
        <v>57</v>
      </c>
      <c r="C18" s="1" t="s">
        <v>6</v>
      </c>
      <c r="D18" s="1" t="s">
        <v>60</v>
      </c>
      <c r="E18" s="3">
        <v>2370</v>
      </c>
      <c r="F18" s="3">
        <v>8</v>
      </c>
      <c r="G18" s="3">
        <v>200</v>
      </c>
      <c r="H18" s="4">
        <v>20000</v>
      </c>
      <c r="I18" s="1" t="s">
        <v>3</v>
      </c>
      <c r="J18" s="1" t="s">
        <v>4</v>
      </c>
    </row>
    <row r="19" spans="1:10" hidden="1" x14ac:dyDescent="0.25">
      <c r="A19">
        <v>95</v>
      </c>
      <c r="B19" s="1" t="s">
        <v>69</v>
      </c>
      <c r="C19" s="1" t="s">
        <v>1</v>
      </c>
      <c r="D19" s="1" t="s">
        <v>73</v>
      </c>
      <c r="E19" s="3">
        <v>2722</v>
      </c>
      <c r="F19" s="3">
        <v>5</v>
      </c>
      <c r="G19" s="3">
        <v>200</v>
      </c>
      <c r="H19" s="4">
        <v>20000</v>
      </c>
      <c r="I19" s="1" t="s">
        <v>3</v>
      </c>
      <c r="J19" s="1" t="s">
        <v>4</v>
      </c>
    </row>
    <row r="20" spans="1:10" hidden="1" x14ac:dyDescent="0.25">
      <c r="A20">
        <v>146</v>
      </c>
      <c r="B20" s="5" t="s">
        <v>101</v>
      </c>
      <c r="C20" t="s">
        <v>136</v>
      </c>
      <c r="D20" s="5" t="s">
        <v>73</v>
      </c>
      <c r="E20" s="6">
        <v>0</v>
      </c>
      <c r="F20" s="6">
        <v>5</v>
      </c>
      <c r="G20" s="6">
        <v>0</v>
      </c>
      <c r="H20" s="7">
        <v>480</v>
      </c>
      <c r="I20" s="5" t="s">
        <v>3</v>
      </c>
      <c r="J20" s="5" t="s">
        <v>4</v>
      </c>
    </row>
    <row r="21" spans="1:10" hidden="1" x14ac:dyDescent="0.25">
      <c r="A21">
        <v>158</v>
      </c>
      <c r="B21" s="5" t="s">
        <v>109</v>
      </c>
      <c r="C21" t="s">
        <v>136</v>
      </c>
      <c r="D21" s="5" t="s">
        <v>73</v>
      </c>
      <c r="E21" s="6">
        <v>0</v>
      </c>
      <c r="F21" s="6">
        <v>5</v>
      </c>
      <c r="G21" s="6">
        <v>0</v>
      </c>
      <c r="H21" s="7">
        <v>830</v>
      </c>
      <c r="I21" s="5" t="s">
        <v>3</v>
      </c>
      <c r="J21" s="5" t="s">
        <v>4</v>
      </c>
    </row>
    <row r="22" spans="1:10" hidden="1" x14ac:dyDescent="0.25">
      <c r="A22">
        <v>172</v>
      </c>
      <c r="B22" s="5" t="s">
        <v>117</v>
      </c>
      <c r="C22" t="s">
        <v>136</v>
      </c>
      <c r="D22" s="5" t="s">
        <v>73</v>
      </c>
      <c r="E22" s="6">
        <v>0</v>
      </c>
      <c r="F22" s="6">
        <v>5</v>
      </c>
      <c r="G22" s="6">
        <v>0</v>
      </c>
      <c r="H22" s="7">
        <v>1350</v>
      </c>
      <c r="I22" s="5" t="s">
        <v>3</v>
      </c>
      <c r="J22" s="5" t="s">
        <v>4</v>
      </c>
    </row>
    <row r="23" spans="1:10" hidden="1" x14ac:dyDescent="0.25">
      <c r="A23">
        <v>180</v>
      </c>
      <c r="B23" s="5" t="s">
        <v>121</v>
      </c>
      <c r="C23" t="s">
        <v>137</v>
      </c>
      <c r="D23" s="5" t="s">
        <v>73</v>
      </c>
      <c r="E23" s="6">
        <v>4</v>
      </c>
      <c r="F23" s="6">
        <v>5</v>
      </c>
      <c r="G23" s="6">
        <v>0</v>
      </c>
      <c r="H23" s="7">
        <v>20000</v>
      </c>
      <c r="I23" s="5" t="s">
        <v>3</v>
      </c>
      <c r="J23" s="5" t="s">
        <v>4</v>
      </c>
    </row>
    <row r="24" spans="1:10" hidden="1" x14ac:dyDescent="0.25">
      <c r="A24">
        <v>147</v>
      </c>
      <c r="B24" s="1" t="s">
        <v>102</v>
      </c>
      <c r="C24" s="1" t="s">
        <v>36</v>
      </c>
      <c r="D24" s="1" t="s">
        <v>73</v>
      </c>
      <c r="E24" s="3">
        <v>0</v>
      </c>
      <c r="F24" s="3" t="s">
        <v>4</v>
      </c>
      <c r="G24" s="3">
        <v>0</v>
      </c>
      <c r="H24" s="4">
        <v>-91.2</v>
      </c>
      <c r="I24" s="1" t="s">
        <v>3</v>
      </c>
      <c r="J24" s="1" t="s">
        <v>4</v>
      </c>
    </row>
    <row r="25" spans="1:10" hidden="1" x14ac:dyDescent="0.25">
      <c r="A25">
        <v>159</v>
      </c>
      <c r="B25" s="1" t="s">
        <v>110</v>
      </c>
      <c r="C25" s="1" t="s">
        <v>36</v>
      </c>
      <c r="D25" s="1" t="s">
        <v>73</v>
      </c>
      <c r="E25" s="3">
        <v>0</v>
      </c>
      <c r="F25" s="3" t="s">
        <v>4</v>
      </c>
      <c r="G25" s="3">
        <v>0</v>
      </c>
      <c r="H25" s="4">
        <v>-157.69999999999999</v>
      </c>
      <c r="I25" s="1" t="s">
        <v>3</v>
      </c>
      <c r="J25" s="1" t="s">
        <v>4</v>
      </c>
    </row>
    <row r="26" spans="1:10" hidden="1" x14ac:dyDescent="0.25">
      <c r="A26">
        <v>173</v>
      </c>
      <c r="B26" s="1" t="s">
        <v>118</v>
      </c>
      <c r="C26" s="1" t="s">
        <v>36</v>
      </c>
      <c r="D26" s="1" t="s">
        <v>73</v>
      </c>
      <c r="E26" s="3">
        <v>0</v>
      </c>
      <c r="F26" s="3" t="s">
        <v>4</v>
      </c>
      <c r="G26" s="3">
        <v>0</v>
      </c>
      <c r="H26" s="4">
        <v>-256.5</v>
      </c>
      <c r="I26" s="1" t="s">
        <v>3</v>
      </c>
      <c r="J26" s="1" t="s">
        <v>4</v>
      </c>
    </row>
    <row r="27" spans="1:10" hidden="1" x14ac:dyDescent="0.25">
      <c r="A27">
        <v>182</v>
      </c>
      <c r="B27" s="5" t="s">
        <v>122</v>
      </c>
      <c r="C27" s="5" t="s">
        <v>36</v>
      </c>
      <c r="D27" s="5" t="s">
        <v>73</v>
      </c>
      <c r="E27" s="6">
        <v>0</v>
      </c>
      <c r="F27" s="6" t="s">
        <v>4</v>
      </c>
      <c r="G27" s="6">
        <v>0</v>
      </c>
      <c r="H27" s="7">
        <v>-659.3</v>
      </c>
      <c r="I27" s="5" t="s">
        <v>3</v>
      </c>
      <c r="J27" s="5" t="s">
        <v>4</v>
      </c>
    </row>
    <row r="28" spans="1:10" hidden="1" x14ac:dyDescent="0.25">
      <c r="A28">
        <v>181</v>
      </c>
      <c r="B28" s="1" t="s">
        <v>121</v>
      </c>
      <c r="C28" s="1" t="s">
        <v>34</v>
      </c>
      <c r="D28" s="1" t="s">
        <v>73</v>
      </c>
      <c r="E28" s="3">
        <v>4</v>
      </c>
      <c r="F28" s="3">
        <v>5</v>
      </c>
      <c r="G28" s="3">
        <v>0</v>
      </c>
      <c r="H28" s="4">
        <v>3470</v>
      </c>
      <c r="I28" s="1" t="s">
        <v>3</v>
      </c>
      <c r="J28" s="1" t="s">
        <v>4</v>
      </c>
    </row>
    <row r="29" spans="1:10" hidden="1" x14ac:dyDescent="0.25">
      <c r="A29">
        <v>184</v>
      </c>
      <c r="B29" s="5" t="s">
        <v>122</v>
      </c>
      <c r="C29" s="5" t="s">
        <v>38</v>
      </c>
      <c r="D29" s="5" t="s">
        <v>73</v>
      </c>
      <c r="E29" s="6">
        <v>4</v>
      </c>
      <c r="F29" s="6">
        <v>5</v>
      </c>
      <c r="G29" s="6">
        <v>-200</v>
      </c>
      <c r="H29" s="7" t="s">
        <v>4</v>
      </c>
      <c r="I29" s="5" t="s">
        <v>3</v>
      </c>
      <c r="J29" s="5" t="s">
        <v>4</v>
      </c>
    </row>
    <row r="30" spans="1:10" hidden="1" x14ac:dyDescent="0.25">
      <c r="A30">
        <v>148</v>
      </c>
      <c r="B30" s="5" t="s">
        <v>102</v>
      </c>
      <c r="C30" s="5" t="s">
        <v>37</v>
      </c>
      <c r="D30" s="5" t="s">
        <v>73</v>
      </c>
      <c r="E30" s="6">
        <v>0</v>
      </c>
      <c r="F30" s="6" t="s">
        <v>4</v>
      </c>
      <c r="G30" s="6">
        <v>0</v>
      </c>
      <c r="H30" s="7">
        <v>-388.8</v>
      </c>
      <c r="I30" s="5" t="s">
        <v>3</v>
      </c>
      <c r="J30" s="5" t="s">
        <v>4</v>
      </c>
    </row>
    <row r="31" spans="1:10" hidden="1" x14ac:dyDescent="0.25">
      <c r="A31">
        <v>160</v>
      </c>
      <c r="B31" s="5" t="s">
        <v>110</v>
      </c>
      <c r="C31" s="5" t="s">
        <v>37</v>
      </c>
      <c r="D31" s="5" t="s">
        <v>73</v>
      </c>
      <c r="E31" s="6">
        <v>0</v>
      </c>
      <c r="F31" s="6" t="s">
        <v>4</v>
      </c>
      <c r="G31" s="6">
        <v>0</v>
      </c>
      <c r="H31" s="7">
        <v>-672.3</v>
      </c>
      <c r="I31" s="5" t="s">
        <v>3</v>
      </c>
      <c r="J31" s="5" t="s">
        <v>4</v>
      </c>
    </row>
    <row r="32" spans="1:10" hidden="1" x14ac:dyDescent="0.25">
      <c r="A32">
        <v>174</v>
      </c>
      <c r="B32" s="5" t="s">
        <v>118</v>
      </c>
      <c r="C32" s="5" t="s">
        <v>37</v>
      </c>
      <c r="D32" s="5" t="s">
        <v>73</v>
      </c>
      <c r="E32" s="6">
        <v>0</v>
      </c>
      <c r="F32" s="6" t="s">
        <v>4</v>
      </c>
      <c r="G32" s="6">
        <v>0</v>
      </c>
      <c r="H32" s="7">
        <v>-1093.5</v>
      </c>
      <c r="I32" s="5" t="s">
        <v>3</v>
      </c>
      <c r="J32" s="5" t="s">
        <v>4</v>
      </c>
    </row>
    <row r="33" spans="1:10" hidden="1" x14ac:dyDescent="0.25">
      <c r="A33">
        <v>183</v>
      </c>
      <c r="B33" s="1" t="s">
        <v>122</v>
      </c>
      <c r="C33" s="1" t="s">
        <v>37</v>
      </c>
      <c r="D33" s="1" t="s">
        <v>73</v>
      </c>
      <c r="E33" s="3">
        <v>0</v>
      </c>
      <c r="F33" s="3" t="s">
        <v>4</v>
      </c>
      <c r="G33" s="3">
        <v>0</v>
      </c>
      <c r="H33" s="4">
        <v>-22810.7</v>
      </c>
      <c r="I33" s="1" t="s">
        <v>3</v>
      </c>
      <c r="J33" s="1" t="s">
        <v>4</v>
      </c>
    </row>
    <row r="34" spans="1:10" hidden="1" x14ac:dyDescent="0.25">
      <c r="A34">
        <v>96</v>
      </c>
      <c r="B34" s="5" t="s">
        <v>69</v>
      </c>
      <c r="C34" s="5" t="s">
        <v>6</v>
      </c>
      <c r="D34" s="5" t="s">
        <v>73</v>
      </c>
      <c r="E34" s="6">
        <v>2722</v>
      </c>
      <c r="F34" s="6">
        <v>5</v>
      </c>
      <c r="G34" s="6">
        <v>200</v>
      </c>
      <c r="H34" s="7">
        <v>20000</v>
      </c>
      <c r="I34" s="5" t="s">
        <v>3</v>
      </c>
      <c r="J34" s="5" t="s">
        <v>4</v>
      </c>
    </row>
    <row r="35" spans="1:10" hidden="1" x14ac:dyDescent="0.25">
      <c r="A35">
        <v>1</v>
      </c>
      <c r="B35" s="1" t="s">
        <v>0</v>
      </c>
      <c r="C35" s="1" t="s">
        <v>1</v>
      </c>
      <c r="D35" s="1" t="s">
        <v>2</v>
      </c>
      <c r="E35" s="3">
        <v>17611</v>
      </c>
      <c r="F35" s="3">
        <v>22</v>
      </c>
      <c r="G35" s="3">
        <v>2</v>
      </c>
      <c r="H35" s="4">
        <v>200</v>
      </c>
      <c r="I35" s="1" t="s">
        <v>3</v>
      </c>
      <c r="J35" s="1" t="s">
        <v>4</v>
      </c>
    </row>
    <row r="36" spans="1:10" hidden="1" x14ac:dyDescent="0.25">
      <c r="A36">
        <v>21</v>
      </c>
      <c r="B36" s="1" t="s">
        <v>33</v>
      </c>
      <c r="C36" t="s">
        <v>137</v>
      </c>
      <c r="D36" s="1" t="s">
        <v>2</v>
      </c>
      <c r="E36" s="3">
        <v>2</v>
      </c>
      <c r="F36" s="3">
        <v>22</v>
      </c>
      <c r="G36" s="3">
        <v>0</v>
      </c>
      <c r="H36" s="4">
        <v>200</v>
      </c>
      <c r="I36" s="1" t="s">
        <v>3</v>
      </c>
      <c r="J36" s="1" t="s">
        <v>4</v>
      </c>
    </row>
    <row r="37" spans="1:10" hidden="1" x14ac:dyDescent="0.25">
      <c r="A37">
        <v>23</v>
      </c>
      <c r="B37" s="1" t="s">
        <v>35</v>
      </c>
      <c r="C37" s="1" t="s">
        <v>36</v>
      </c>
      <c r="D37" s="1" t="s">
        <v>2</v>
      </c>
      <c r="E37" s="3">
        <v>0</v>
      </c>
      <c r="F37" s="3" t="s">
        <v>4</v>
      </c>
      <c r="G37" s="3">
        <v>0</v>
      </c>
      <c r="H37" s="4">
        <v>-5</v>
      </c>
      <c r="I37" s="1" t="s">
        <v>3</v>
      </c>
      <c r="J37" s="1" t="s">
        <v>4</v>
      </c>
    </row>
    <row r="38" spans="1:10" hidden="1" x14ac:dyDescent="0.25">
      <c r="A38">
        <v>22</v>
      </c>
      <c r="B38" s="5" t="s">
        <v>33</v>
      </c>
      <c r="C38" s="5" t="s">
        <v>34</v>
      </c>
      <c r="D38" s="5" t="s">
        <v>2</v>
      </c>
      <c r="E38" s="6">
        <v>2</v>
      </c>
      <c r="F38" s="6">
        <v>22</v>
      </c>
      <c r="G38" s="6">
        <v>0</v>
      </c>
      <c r="H38" s="7">
        <v>24.72</v>
      </c>
      <c r="I38" s="5" t="s">
        <v>3</v>
      </c>
      <c r="J38" s="5" t="s">
        <v>4</v>
      </c>
    </row>
    <row r="39" spans="1:10" hidden="1" x14ac:dyDescent="0.25">
      <c r="A39">
        <v>25</v>
      </c>
      <c r="B39" s="1" t="s">
        <v>35</v>
      </c>
      <c r="C39" s="1" t="s">
        <v>38</v>
      </c>
      <c r="D39" s="1" t="s">
        <v>2</v>
      </c>
      <c r="E39" s="3">
        <v>2</v>
      </c>
      <c r="F39" s="3">
        <v>22</v>
      </c>
      <c r="G39" s="3">
        <v>-2</v>
      </c>
      <c r="H39" s="4" t="s">
        <v>4</v>
      </c>
      <c r="I39" s="1" t="s">
        <v>3</v>
      </c>
      <c r="J39" s="1" t="s">
        <v>4</v>
      </c>
    </row>
    <row r="40" spans="1:10" hidden="1" x14ac:dyDescent="0.25">
      <c r="A40">
        <v>24</v>
      </c>
      <c r="B40" s="5" t="s">
        <v>35</v>
      </c>
      <c r="C40" s="5" t="s">
        <v>37</v>
      </c>
      <c r="D40" s="5" t="s">
        <v>2</v>
      </c>
      <c r="E40" s="6">
        <v>0</v>
      </c>
      <c r="F40" s="6" t="s">
        <v>4</v>
      </c>
      <c r="G40" s="6">
        <v>0</v>
      </c>
      <c r="H40" s="7">
        <v>-219.72</v>
      </c>
      <c r="I40" s="5" t="s">
        <v>3</v>
      </c>
      <c r="J40" s="5" t="s">
        <v>4</v>
      </c>
    </row>
    <row r="41" spans="1:10" hidden="1" x14ac:dyDescent="0.25">
      <c r="A41">
        <v>2</v>
      </c>
      <c r="B41" s="5" t="s">
        <v>5</v>
      </c>
      <c r="C41" s="5" t="s">
        <v>6</v>
      </c>
      <c r="D41" s="5" t="s">
        <v>2</v>
      </c>
      <c r="E41" s="6">
        <v>17611</v>
      </c>
      <c r="F41" s="6">
        <v>22</v>
      </c>
      <c r="G41" s="6">
        <v>2</v>
      </c>
      <c r="H41" s="7">
        <v>200</v>
      </c>
      <c r="I41" s="5" t="s">
        <v>3</v>
      </c>
      <c r="J41" s="5" t="s">
        <v>4</v>
      </c>
    </row>
    <row r="42" spans="1:10" hidden="1" x14ac:dyDescent="0.25">
      <c r="A42">
        <v>3</v>
      </c>
      <c r="B42" s="1" t="s">
        <v>7</v>
      </c>
      <c r="C42" s="1" t="s">
        <v>1</v>
      </c>
      <c r="D42" s="1" t="s">
        <v>8</v>
      </c>
      <c r="E42" s="3">
        <v>21818</v>
      </c>
      <c r="F42" s="3">
        <v>30</v>
      </c>
      <c r="G42" s="3">
        <v>20</v>
      </c>
      <c r="H42" s="4">
        <v>2000</v>
      </c>
      <c r="I42" s="1" t="s">
        <v>3</v>
      </c>
      <c r="J42" s="1" t="s">
        <v>4</v>
      </c>
    </row>
    <row r="43" spans="1:10" hidden="1" x14ac:dyDescent="0.25">
      <c r="A43">
        <v>26</v>
      </c>
      <c r="B43" s="5" t="s">
        <v>39</v>
      </c>
      <c r="C43" t="s">
        <v>137</v>
      </c>
      <c r="D43" s="5" t="s">
        <v>8</v>
      </c>
      <c r="E43" s="6">
        <v>2</v>
      </c>
      <c r="F43" s="6">
        <v>30</v>
      </c>
      <c r="G43" s="6">
        <v>0</v>
      </c>
      <c r="H43" s="7">
        <v>2000</v>
      </c>
      <c r="I43" s="5" t="s">
        <v>3</v>
      </c>
      <c r="J43" s="5" t="s">
        <v>4</v>
      </c>
    </row>
    <row r="44" spans="1:10" hidden="1" x14ac:dyDescent="0.25">
      <c r="A44">
        <v>28</v>
      </c>
      <c r="B44" s="5" t="s">
        <v>40</v>
      </c>
      <c r="C44" s="5" t="s">
        <v>36</v>
      </c>
      <c r="D44" s="5" t="s">
        <v>8</v>
      </c>
      <c r="E44" s="6">
        <v>0</v>
      </c>
      <c r="F44" s="6" t="s">
        <v>4</v>
      </c>
      <c r="G44" s="6">
        <v>0</v>
      </c>
      <c r="H44" s="7">
        <v>-47</v>
      </c>
      <c r="I44" s="5" t="s">
        <v>3</v>
      </c>
      <c r="J44" s="5" t="s">
        <v>4</v>
      </c>
    </row>
    <row r="45" spans="1:10" hidden="1" x14ac:dyDescent="0.25">
      <c r="A45">
        <v>27</v>
      </c>
      <c r="B45" s="1" t="s">
        <v>39</v>
      </c>
      <c r="C45" s="1" t="s">
        <v>34</v>
      </c>
      <c r="D45" s="1" t="s">
        <v>8</v>
      </c>
      <c r="E45" s="3">
        <v>2</v>
      </c>
      <c r="F45" s="3">
        <v>30</v>
      </c>
      <c r="G45" s="3">
        <v>0</v>
      </c>
      <c r="H45" s="4">
        <v>247.2</v>
      </c>
      <c r="I45" s="1" t="s">
        <v>3</v>
      </c>
      <c r="J45" s="1" t="s">
        <v>4</v>
      </c>
    </row>
    <row r="46" spans="1:10" hidden="1" x14ac:dyDescent="0.25">
      <c r="A46">
        <v>30</v>
      </c>
      <c r="B46" s="5" t="s">
        <v>40</v>
      </c>
      <c r="C46" s="5" t="s">
        <v>38</v>
      </c>
      <c r="D46" s="5" t="s">
        <v>8</v>
      </c>
      <c r="E46" s="6">
        <v>2</v>
      </c>
      <c r="F46" s="6">
        <v>30</v>
      </c>
      <c r="G46" s="6">
        <v>-20</v>
      </c>
      <c r="H46" s="7" t="s">
        <v>4</v>
      </c>
      <c r="I46" s="5" t="s">
        <v>3</v>
      </c>
      <c r="J46" s="5" t="s">
        <v>4</v>
      </c>
    </row>
    <row r="47" spans="1:10" hidden="1" x14ac:dyDescent="0.25">
      <c r="A47">
        <v>29</v>
      </c>
      <c r="B47" s="1" t="s">
        <v>40</v>
      </c>
      <c r="C47" s="1" t="s">
        <v>37</v>
      </c>
      <c r="D47" s="1" t="s">
        <v>8</v>
      </c>
      <c r="E47" s="3">
        <v>0</v>
      </c>
      <c r="F47" s="3" t="s">
        <v>4</v>
      </c>
      <c r="G47" s="3">
        <v>0</v>
      </c>
      <c r="H47" s="4">
        <v>-2200.1999999999998</v>
      </c>
      <c r="I47" s="1" t="s">
        <v>3</v>
      </c>
      <c r="J47" s="1" t="s">
        <v>4</v>
      </c>
    </row>
    <row r="48" spans="1:10" hidden="1" x14ac:dyDescent="0.25">
      <c r="A48">
        <v>4</v>
      </c>
      <c r="B48" s="5" t="s">
        <v>9</v>
      </c>
      <c r="C48" s="5" t="s">
        <v>6</v>
      </c>
      <c r="D48" s="5" t="s">
        <v>8</v>
      </c>
      <c r="E48" s="6">
        <v>21818</v>
      </c>
      <c r="F48" s="6">
        <v>30</v>
      </c>
      <c r="G48" s="6">
        <v>20</v>
      </c>
      <c r="H48" s="7">
        <v>2000</v>
      </c>
      <c r="I48" s="5" t="s">
        <v>3</v>
      </c>
      <c r="J48" s="5" t="s">
        <v>4</v>
      </c>
    </row>
    <row r="49" spans="1:10" hidden="1" x14ac:dyDescent="0.25">
      <c r="A49">
        <v>5</v>
      </c>
      <c r="B49" s="1" t="s">
        <v>10</v>
      </c>
      <c r="C49" s="1" t="s">
        <v>1</v>
      </c>
      <c r="D49" s="1" t="s">
        <v>11</v>
      </c>
      <c r="E49" s="3">
        <v>4900</v>
      </c>
      <c r="F49" s="3">
        <v>7</v>
      </c>
      <c r="G49" s="3">
        <v>30</v>
      </c>
      <c r="H49" s="4">
        <v>3000</v>
      </c>
      <c r="I49" s="1" t="s">
        <v>3</v>
      </c>
      <c r="J49" s="1" t="s">
        <v>4</v>
      </c>
    </row>
    <row r="50" spans="1:10" hidden="1" x14ac:dyDescent="0.25">
      <c r="A50">
        <v>31</v>
      </c>
      <c r="B50" s="1" t="s">
        <v>41</v>
      </c>
      <c r="C50" t="s">
        <v>137</v>
      </c>
      <c r="D50" s="1" t="s">
        <v>11</v>
      </c>
      <c r="E50" s="3">
        <v>2</v>
      </c>
      <c r="F50" s="3">
        <v>7</v>
      </c>
      <c r="G50" s="3">
        <v>0</v>
      </c>
      <c r="H50" s="4">
        <v>3000</v>
      </c>
      <c r="I50" s="1" t="s">
        <v>3</v>
      </c>
      <c r="J50" s="1" t="s">
        <v>4</v>
      </c>
    </row>
    <row r="51" spans="1:10" hidden="1" x14ac:dyDescent="0.25">
      <c r="A51">
        <v>33</v>
      </c>
      <c r="B51" s="1" t="s">
        <v>42</v>
      </c>
      <c r="C51" s="1" t="s">
        <v>36</v>
      </c>
      <c r="D51" s="1" t="s">
        <v>11</v>
      </c>
      <c r="E51" s="3">
        <v>0</v>
      </c>
      <c r="F51" s="3" t="s">
        <v>4</v>
      </c>
      <c r="G51" s="3">
        <v>0</v>
      </c>
      <c r="H51" s="4">
        <v>-79</v>
      </c>
      <c r="I51" s="1" t="s">
        <v>3</v>
      </c>
      <c r="J51" s="1" t="s">
        <v>4</v>
      </c>
    </row>
    <row r="52" spans="1:10" hidden="1" x14ac:dyDescent="0.25">
      <c r="A52">
        <v>32</v>
      </c>
      <c r="B52" s="5" t="s">
        <v>41</v>
      </c>
      <c r="C52" s="5" t="s">
        <v>34</v>
      </c>
      <c r="D52" s="5" t="s">
        <v>11</v>
      </c>
      <c r="E52" s="6">
        <v>2</v>
      </c>
      <c r="F52" s="6">
        <v>7</v>
      </c>
      <c r="G52" s="6">
        <v>0</v>
      </c>
      <c r="H52" s="7">
        <v>415.5</v>
      </c>
      <c r="I52" s="5" t="s">
        <v>3</v>
      </c>
      <c r="J52" s="5" t="s">
        <v>4</v>
      </c>
    </row>
    <row r="53" spans="1:10" hidden="1" x14ac:dyDescent="0.25">
      <c r="A53">
        <v>35</v>
      </c>
      <c r="B53" s="1" t="s">
        <v>42</v>
      </c>
      <c r="C53" s="1" t="s">
        <v>38</v>
      </c>
      <c r="D53" s="1" t="s">
        <v>11</v>
      </c>
      <c r="E53" s="3">
        <v>2</v>
      </c>
      <c r="F53" s="3">
        <v>7</v>
      </c>
      <c r="G53" s="3">
        <v>-30</v>
      </c>
      <c r="H53" s="4" t="s">
        <v>4</v>
      </c>
      <c r="I53" s="1" t="s">
        <v>3</v>
      </c>
      <c r="J53" s="1" t="s">
        <v>4</v>
      </c>
    </row>
    <row r="54" spans="1:10" hidden="1" x14ac:dyDescent="0.25">
      <c r="A54">
        <v>34</v>
      </c>
      <c r="B54" s="5" t="s">
        <v>42</v>
      </c>
      <c r="C54" s="5" t="s">
        <v>37</v>
      </c>
      <c r="D54" s="5" t="s">
        <v>11</v>
      </c>
      <c r="E54" s="6">
        <v>0</v>
      </c>
      <c r="F54" s="6" t="s">
        <v>4</v>
      </c>
      <c r="G54" s="6">
        <v>0</v>
      </c>
      <c r="H54" s="7">
        <v>-3336.5</v>
      </c>
      <c r="I54" s="5" t="s">
        <v>3</v>
      </c>
      <c r="J54" s="5" t="s">
        <v>4</v>
      </c>
    </row>
    <row r="55" spans="1:10" hidden="1" x14ac:dyDescent="0.25">
      <c r="A55">
        <v>6</v>
      </c>
      <c r="B55" s="5" t="s">
        <v>12</v>
      </c>
      <c r="C55" s="5" t="s">
        <v>6</v>
      </c>
      <c r="D55" s="5" t="s">
        <v>11</v>
      </c>
      <c r="E55" s="6">
        <v>4900</v>
      </c>
      <c r="F55" s="6">
        <v>7</v>
      </c>
      <c r="G55" s="6">
        <v>30</v>
      </c>
      <c r="H55" s="7">
        <v>3000</v>
      </c>
      <c r="I55" s="5" t="s">
        <v>3</v>
      </c>
      <c r="J55" s="5" t="s">
        <v>4</v>
      </c>
    </row>
    <row r="56" spans="1:10" hidden="1" x14ac:dyDescent="0.25">
      <c r="A56">
        <v>7</v>
      </c>
      <c r="B56" s="1" t="s">
        <v>13</v>
      </c>
      <c r="C56" s="1" t="s">
        <v>1</v>
      </c>
      <c r="D56" s="1" t="s">
        <v>14</v>
      </c>
      <c r="E56" s="3">
        <v>2487</v>
      </c>
      <c r="F56" s="3">
        <v>5</v>
      </c>
      <c r="G56" s="3">
        <v>20</v>
      </c>
      <c r="H56" s="4">
        <v>2000</v>
      </c>
      <c r="I56" s="1" t="s">
        <v>3</v>
      </c>
      <c r="J56" s="1" t="s">
        <v>4</v>
      </c>
    </row>
    <row r="57" spans="1:10" hidden="1" x14ac:dyDescent="0.25">
      <c r="A57">
        <v>36</v>
      </c>
      <c r="B57" s="5" t="s">
        <v>43</v>
      </c>
      <c r="C57" t="s">
        <v>137</v>
      </c>
      <c r="D57" s="5" t="s">
        <v>14</v>
      </c>
      <c r="E57" s="6">
        <v>2</v>
      </c>
      <c r="F57" s="6">
        <v>5</v>
      </c>
      <c r="G57" s="6">
        <v>0</v>
      </c>
      <c r="H57" s="7">
        <v>2000</v>
      </c>
      <c r="I57" s="5" t="s">
        <v>3</v>
      </c>
      <c r="J57" s="5" t="s">
        <v>4</v>
      </c>
    </row>
    <row r="58" spans="1:10" hidden="1" x14ac:dyDescent="0.25">
      <c r="A58">
        <v>38</v>
      </c>
      <c r="B58" s="5" t="s">
        <v>44</v>
      </c>
      <c r="C58" s="5" t="s">
        <v>36</v>
      </c>
      <c r="D58" s="5" t="s">
        <v>14</v>
      </c>
      <c r="E58" s="6">
        <v>0</v>
      </c>
      <c r="F58" s="6" t="s">
        <v>4</v>
      </c>
      <c r="G58" s="6">
        <v>0</v>
      </c>
      <c r="H58" s="7">
        <v>-53</v>
      </c>
      <c r="I58" s="5" t="s">
        <v>3</v>
      </c>
      <c r="J58" s="5" t="s">
        <v>4</v>
      </c>
    </row>
    <row r="59" spans="1:10" hidden="1" x14ac:dyDescent="0.25">
      <c r="A59">
        <v>37</v>
      </c>
      <c r="B59" s="1" t="s">
        <v>43</v>
      </c>
      <c r="C59" s="1" t="s">
        <v>34</v>
      </c>
      <c r="D59" s="1" t="s">
        <v>14</v>
      </c>
      <c r="E59" s="3">
        <v>2</v>
      </c>
      <c r="F59" s="3">
        <v>5</v>
      </c>
      <c r="G59" s="3">
        <v>0</v>
      </c>
      <c r="H59" s="4">
        <v>277</v>
      </c>
      <c r="I59" s="1" t="s">
        <v>3</v>
      </c>
      <c r="J59" s="1" t="s">
        <v>4</v>
      </c>
    </row>
    <row r="60" spans="1:10" hidden="1" x14ac:dyDescent="0.25">
      <c r="A60">
        <v>40</v>
      </c>
      <c r="B60" s="5" t="s">
        <v>44</v>
      </c>
      <c r="C60" s="5" t="s">
        <v>38</v>
      </c>
      <c r="D60" s="5" t="s">
        <v>14</v>
      </c>
      <c r="E60" s="6">
        <v>2</v>
      </c>
      <c r="F60" s="6">
        <v>5</v>
      </c>
      <c r="G60" s="6">
        <v>-20</v>
      </c>
      <c r="H60" s="7" t="s">
        <v>4</v>
      </c>
      <c r="I60" s="5" t="s">
        <v>3</v>
      </c>
      <c r="J60" s="5" t="s">
        <v>4</v>
      </c>
    </row>
    <row r="61" spans="1:10" hidden="1" x14ac:dyDescent="0.25">
      <c r="A61">
        <v>39</v>
      </c>
      <c r="B61" s="1" t="s">
        <v>44</v>
      </c>
      <c r="C61" s="1" t="s">
        <v>37</v>
      </c>
      <c r="D61" s="1" t="s">
        <v>14</v>
      </c>
      <c r="E61" s="3">
        <v>0</v>
      </c>
      <c r="F61" s="3" t="s">
        <v>4</v>
      </c>
      <c r="G61" s="3">
        <v>0</v>
      </c>
      <c r="H61" s="4">
        <v>-2224</v>
      </c>
      <c r="I61" s="1" t="s">
        <v>3</v>
      </c>
      <c r="J61" s="1" t="s">
        <v>4</v>
      </c>
    </row>
    <row r="62" spans="1:10" hidden="1" x14ac:dyDescent="0.25">
      <c r="A62">
        <v>8</v>
      </c>
      <c r="B62" s="5" t="s">
        <v>15</v>
      </c>
      <c r="C62" s="5" t="s">
        <v>6</v>
      </c>
      <c r="D62" s="5" t="s">
        <v>14</v>
      </c>
      <c r="E62" s="6">
        <v>2487</v>
      </c>
      <c r="F62" s="6">
        <v>5</v>
      </c>
      <c r="G62" s="6">
        <v>20</v>
      </c>
      <c r="H62" s="7">
        <v>2000</v>
      </c>
      <c r="I62" s="5" t="s">
        <v>3</v>
      </c>
      <c r="J62" s="5" t="s">
        <v>4</v>
      </c>
    </row>
    <row r="63" spans="1:10" hidden="1" x14ac:dyDescent="0.25">
      <c r="A63">
        <v>9</v>
      </c>
      <c r="B63" s="1" t="s">
        <v>16</v>
      </c>
      <c r="C63" s="1" t="s">
        <v>1</v>
      </c>
      <c r="D63" s="1" t="s">
        <v>17</v>
      </c>
      <c r="E63" s="3">
        <v>2382</v>
      </c>
      <c r="F63" s="3">
        <v>2</v>
      </c>
      <c r="G63" s="3">
        <v>15</v>
      </c>
      <c r="H63" s="4">
        <v>1500</v>
      </c>
      <c r="I63" s="1" t="s">
        <v>3</v>
      </c>
      <c r="J63" s="1" t="s">
        <v>4</v>
      </c>
    </row>
    <row r="64" spans="1:10" hidden="1" x14ac:dyDescent="0.25">
      <c r="A64">
        <v>41</v>
      </c>
      <c r="B64" s="1" t="s">
        <v>45</v>
      </c>
      <c r="C64" t="s">
        <v>137</v>
      </c>
      <c r="D64" s="1" t="s">
        <v>17</v>
      </c>
      <c r="E64" s="3">
        <v>2</v>
      </c>
      <c r="F64" s="3">
        <v>2</v>
      </c>
      <c r="G64" s="3">
        <v>0</v>
      </c>
      <c r="H64" s="4">
        <v>1500</v>
      </c>
      <c r="I64" s="1" t="s">
        <v>3</v>
      </c>
      <c r="J64" s="1" t="s">
        <v>4</v>
      </c>
    </row>
    <row r="65" spans="1:10" hidden="1" x14ac:dyDescent="0.25">
      <c r="A65">
        <v>43</v>
      </c>
      <c r="B65" s="1" t="s">
        <v>46</v>
      </c>
      <c r="C65" s="1" t="s">
        <v>36</v>
      </c>
      <c r="D65" s="1" t="s">
        <v>17</v>
      </c>
      <c r="E65" s="3">
        <v>0</v>
      </c>
      <c r="F65" s="3" t="s">
        <v>4</v>
      </c>
      <c r="G65" s="3">
        <v>0</v>
      </c>
      <c r="H65" s="4">
        <v>-41</v>
      </c>
      <c r="I65" s="1" t="s">
        <v>3</v>
      </c>
      <c r="J65" s="1" t="s">
        <v>4</v>
      </c>
    </row>
    <row r="66" spans="1:10" hidden="1" x14ac:dyDescent="0.25">
      <c r="A66">
        <v>42</v>
      </c>
      <c r="B66" s="5" t="s">
        <v>45</v>
      </c>
      <c r="C66" s="5" t="s">
        <v>34</v>
      </c>
      <c r="D66" s="5" t="s">
        <v>17</v>
      </c>
      <c r="E66" s="6">
        <v>2</v>
      </c>
      <c r="F66" s="6">
        <v>2</v>
      </c>
      <c r="G66" s="6">
        <v>0</v>
      </c>
      <c r="H66" s="7">
        <v>217.35</v>
      </c>
      <c r="I66" s="5" t="s">
        <v>3</v>
      </c>
      <c r="J66" s="5" t="s">
        <v>4</v>
      </c>
    </row>
    <row r="67" spans="1:10" hidden="1" x14ac:dyDescent="0.25">
      <c r="A67">
        <v>45</v>
      </c>
      <c r="B67" s="1" t="s">
        <v>46</v>
      </c>
      <c r="C67" s="1" t="s">
        <v>38</v>
      </c>
      <c r="D67" s="1" t="s">
        <v>17</v>
      </c>
      <c r="E67" s="3">
        <v>2</v>
      </c>
      <c r="F67" s="3">
        <v>2</v>
      </c>
      <c r="G67" s="3">
        <v>-15</v>
      </c>
      <c r="H67" s="4" t="s">
        <v>4</v>
      </c>
      <c r="I67" s="1" t="s">
        <v>3</v>
      </c>
      <c r="J67" s="1" t="s">
        <v>4</v>
      </c>
    </row>
    <row r="68" spans="1:10" hidden="1" x14ac:dyDescent="0.25">
      <c r="A68">
        <v>44</v>
      </c>
      <c r="B68" s="5" t="s">
        <v>46</v>
      </c>
      <c r="C68" s="5" t="s">
        <v>37</v>
      </c>
      <c r="D68" s="5" t="s">
        <v>17</v>
      </c>
      <c r="E68" s="6">
        <v>0</v>
      </c>
      <c r="F68" s="6" t="s">
        <v>4</v>
      </c>
      <c r="G68" s="6">
        <v>0</v>
      </c>
      <c r="H68" s="7">
        <v>-1676.35</v>
      </c>
      <c r="I68" s="5" t="s">
        <v>3</v>
      </c>
      <c r="J68" s="5" t="s">
        <v>4</v>
      </c>
    </row>
    <row r="69" spans="1:10" hidden="1" x14ac:dyDescent="0.25">
      <c r="A69">
        <v>10</v>
      </c>
      <c r="B69" s="5" t="s">
        <v>18</v>
      </c>
      <c r="C69" s="5" t="s">
        <v>6</v>
      </c>
      <c r="D69" s="5" t="s">
        <v>17</v>
      </c>
      <c r="E69" s="6">
        <v>2382</v>
      </c>
      <c r="F69" s="6">
        <v>2</v>
      </c>
      <c r="G69" s="6">
        <v>15</v>
      </c>
      <c r="H69" s="7">
        <v>1500</v>
      </c>
      <c r="I69" s="5" t="s">
        <v>3</v>
      </c>
      <c r="J69" s="5" t="s">
        <v>4</v>
      </c>
    </row>
    <row r="70" spans="1:10" hidden="1" x14ac:dyDescent="0.25">
      <c r="A70">
        <v>11</v>
      </c>
      <c r="B70" s="1" t="s">
        <v>19</v>
      </c>
      <c r="C70" s="1" t="s">
        <v>1</v>
      </c>
      <c r="D70" s="1" t="s">
        <v>20</v>
      </c>
      <c r="E70" s="3">
        <v>4275</v>
      </c>
      <c r="F70" s="3">
        <v>6</v>
      </c>
      <c r="G70" s="3">
        <v>20</v>
      </c>
      <c r="H70" s="4">
        <v>2000</v>
      </c>
      <c r="I70" s="1" t="s">
        <v>3</v>
      </c>
      <c r="J70" s="1" t="s">
        <v>4</v>
      </c>
    </row>
    <row r="71" spans="1:10" hidden="1" x14ac:dyDescent="0.25">
      <c r="A71">
        <v>46</v>
      </c>
      <c r="B71" s="5" t="s">
        <v>47</v>
      </c>
      <c r="C71" t="s">
        <v>137</v>
      </c>
      <c r="D71" s="5" t="s">
        <v>20</v>
      </c>
      <c r="E71" s="6">
        <v>2</v>
      </c>
      <c r="F71" s="6">
        <v>6</v>
      </c>
      <c r="G71" s="6">
        <v>0</v>
      </c>
      <c r="H71" s="7">
        <v>2000</v>
      </c>
      <c r="I71" s="5" t="s">
        <v>3</v>
      </c>
      <c r="J71" s="5" t="s">
        <v>4</v>
      </c>
    </row>
    <row r="72" spans="1:10" hidden="1" x14ac:dyDescent="0.25">
      <c r="A72">
        <v>48</v>
      </c>
      <c r="B72" s="5" t="s">
        <v>48</v>
      </c>
      <c r="C72" s="5" t="s">
        <v>36</v>
      </c>
      <c r="D72" s="5" t="s">
        <v>20</v>
      </c>
      <c r="E72" s="6">
        <v>0</v>
      </c>
      <c r="F72" s="6" t="s">
        <v>4</v>
      </c>
      <c r="G72" s="6">
        <v>0</v>
      </c>
      <c r="H72" s="7">
        <v>-55</v>
      </c>
      <c r="I72" s="5" t="s">
        <v>3</v>
      </c>
      <c r="J72" s="5" t="s">
        <v>4</v>
      </c>
    </row>
    <row r="73" spans="1:10" hidden="1" x14ac:dyDescent="0.25">
      <c r="A73">
        <v>47</v>
      </c>
      <c r="B73" s="1" t="s">
        <v>47</v>
      </c>
      <c r="C73" s="1" t="s">
        <v>34</v>
      </c>
      <c r="D73" s="1" t="s">
        <v>20</v>
      </c>
      <c r="E73" s="3">
        <v>2</v>
      </c>
      <c r="F73" s="3">
        <v>6</v>
      </c>
      <c r="G73" s="3">
        <v>0</v>
      </c>
      <c r="H73" s="4">
        <v>289.8</v>
      </c>
      <c r="I73" s="1" t="s">
        <v>3</v>
      </c>
      <c r="J73" s="1" t="s">
        <v>4</v>
      </c>
    </row>
    <row r="74" spans="1:10" hidden="1" x14ac:dyDescent="0.25">
      <c r="A74">
        <v>50</v>
      </c>
      <c r="B74" s="5" t="s">
        <v>48</v>
      </c>
      <c r="C74" s="5" t="s">
        <v>38</v>
      </c>
      <c r="D74" s="5" t="s">
        <v>20</v>
      </c>
      <c r="E74" s="6">
        <v>2</v>
      </c>
      <c r="F74" s="6">
        <v>6</v>
      </c>
      <c r="G74" s="6">
        <v>-20</v>
      </c>
      <c r="H74" s="7" t="s">
        <v>4</v>
      </c>
      <c r="I74" s="5" t="s">
        <v>3</v>
      </c>
      <c r="J74" s="5" t="s">
        <v>4</v>
      </c>
    </row>
    <row r="75" spans="1:10" hidden="1" x14ac:dyDescent="0.25">
      <c r="A75">
        <v>49</v>
      </c>
      <c r="B75" s="1" t="s">
        <v>48</v>
      </c>
      <c r="C75" s="1" t="s">
        <v>37</v>
      </c>
      <c r="D75" s="1" t="s">
        <v>20</v>
      </c>
      <c r="E75" s="3">
        <v>0</v>
      </c>
      <c r="F75" s="3" t="s">
        <v>4</v>
      </c>
      <c r="G75" s="3">
        <v>0</v>
      </c>
      <c r="H75" s="4">
        <v>-2234.8000000000002</v>
      </c>
      <c r="I75" s="1" t="s">
        <v>3</v>
      </c>
      <c r="J75" s="1" t="s">
        <v>4</v>
      </c>
    </row>
    <row r="76" spans="1:10" hidden="1" x14ac:dyDescent="0.25">
      <c r="A76">
        <v>12</v>
      </c>
      <c r="B76" s="5" t="s">
        <v>21</v>
      </c>
      <c r="C76" s="5" t="s">
        <v>6</v>
      </c>
      <c r="D76" s="5" t="s">
        <v>20</v>
      </c>
      <c r="E76" s="6">
        <v>4275</v>
      </c>
      <c r="F76" s="6">
        <v>6</v>
      </c>
      <c r="G76" s="6">
        <v>20</v>
      </c>
      <c r="H76" s="7">
        <v>2000</v>
      </c>
      <c r="I76" s="5" t="s">
        <v>3</v>
      </c>
      <c r="J76" s="5" t="s">
        <v>4</v>
      </c>
    </row>
    <row r="77" spans="1:10" hidden="1" x14ac:dyDescent="0.25">
      <c r="A77">
        <v>13</v>
      </c>
      <c r="B77" s="1" t="s">
        <v>22</v>
      </c>
      <c r="C77" s="1" t="s">
        <v>1</v>
      </c>
      <c r="D77" s="1" t="s">
        <v>23</v>
      </c>
      <c r="E77" s="3">
        <v>1213</v>
      </c>
      <c r="F77" s="3">
        <v>4</v>
      </c>
      <c r="G77" s="3">
        <v>20</v>
      </c>
      <c r="H77" s="4">
        <v>2000</v>
      </c>
      <c r="I77" s="1" t="s">
        <v>3</v>
      </c>
      <c r="J77" s="1" t="s">
        <v>4</v>
      </c>
    </row>
    <row r="78" spans="1:10" hidden="1" x14ac:dyDescent="0.25">
      <c r="A78">
        <v>51</v>
      </c>
      <c r="B78" s="1" t="s">
        <v>49</v>
      </c>
      <c r="C78" t="s">
        <v>137</v>
      </c>
      <c r="D78" s="1" t="s">
        <v>23</v>
      </c>
      <c r="E78" s="3">
        <v>2</v>
      </c>
      <c r="F78" s="3">
        <v>4</v>
      </c>
      <c r="G78" s="3">
        <v>0</v>
      </c>
      <c r="H78" s="4">
        <v>2000</v>
      </c>
      <c r="I78" s="1" t="s">
        <v>3</v>
      </c>
      <c r="J78" s="1" t="s">
        <v>4</v>
      </c>
    </row>
    <row r="79" spans="1:10" hidden="1" x14ac:dyDescent="0.25">
      <c r="A79">
        <v>53</v>
      </c>
      <c r="B79" s="1" t="s">
        <v>50</v>
      </c>
      <c r="C79" s="1" t="s">
        <v>36</v>
      </c>
      <c r="D79" s="1" t="s">
        <v>23</v>
      </c>
      <c r="E79" s="3">
        <v>0</v>
      </c>
      <c r="F79" s="3" t="s">
        <v>4</v>
      </c>
      <c r="G79" s="3">
        <v>0</v>
      </c>
      <c r="H79" s="4">
        <v>-55</v>
      </c>
      <c r="I79" s="1" t="s">
        <v>3</v>
      </c>
      <c r="J79" s="1" t="s">
        <v>4</v>
      </c>
    </row>
    <row r="80" spans="1:10" hidden="1" x14ac:dyDescent="0.25">
      <c r="A80">
        <v>52</v>
      </c>
      <c r="B80" s="5" t="s">
        <v>49</v>
      </c>
      <c r="C80" s="5" t="s">
        <v>34</v>
      </c>
      <c r="D80" s="5" t="s">
        <v>23</v>
      </c>
      <c r="E80" s="6">
        <v>2</v>
      </c>
      <c r="F80" s="6">
        <v>4</v>
      </c>
      <c r="G80" s="6">
        <v>0</v>
      </c>
      <c r="H80" s="7">
        <v>289.8</v>
      </c>
      <c r="I80" s="5" t="s">
        <v>3</v>
      </c>
      <c r="J80" s="5" t="s">
        <v>4</v>
      </c>
    </row>
    <row r="81" spans="1:10" hidden="1" x14ac:dyDescent="0.25">
      <c r="A81">
        <v>55</v>
      </c>
      <c r="B81" s="1" t="s">
        <v>50</v>
      </c>
      <c r="C81" s="1" t="s">
        <v>38</v>
      </c>
      <c r="D81" s="1" t="s">
        <v>23</v>
      </c>
      <c r="E81" s="3">
        <v>2</v>
      </c>
      <c r="F81" s="3">
        <v>4</v>
      </c>
      <c r="G81" s="3">
        <v>-20</v>
      </c>
      <c r="H81" s="4" t="s">
        <v>4</v>
      </c>
      <c r="I81" s="1" t="s">
        <v>3</v>
      </c>
      <c r="J81" s="1" t="s">
        <v>4</v>
      </c>
    </row>
    <row r="82" spans="1:10" hidden="1" x14ac:dyDescent="0.25">
      <c r="A82">
        <v>54</v>
      </c>
      <c r="B82" s="5" t="s">
        <v>50</v>
      </c>
      <c r="C82" s="5" t="s">
        <v>37</v>
      </c>
      <c r="D82" s="5" t="s">
        <v>23</v>
      </c>
      <c r="E82" s="6">
        <v>0</v>
      </c>
      <c r="F82" s="6" t="s">
        <v>4</v>
      </c>
      <c r="G82" s="6">
        <v>0</v>
      </c>
      <c r="H82" s="7">
        <v>-2234.8000000000002</v>
      </c>
      <c r="I82" s="5" t="s">
        <v>3</v>
      </c>
      <c r="J82" s="5" t="s">
        <v>4</v>
      </c>
    </row>
    <row r="83" spans="1:10" hidden="1" x14ac:dyDescent="0.25">
      <c r="A83">
        <v>14</v>
      </c>
      <c r="B83" s="5" t="s">
        <v>22</v>
      </c>
      <c r="C83" s="5" t="s">
        <v>6</v>
      </c>
      <c r="D83" s="5" t="s">
        <v>23</v>
      </c>
      <c r="E83" s="6">
        <v>1213</v>
      </c>
      <c r="F83" s="6">
        <v>4</v>
      </c>
      <c r="G83" s="6">
        <v>20</v>
      </c>
      <c r="H83" s="7">
        <v>2000</v>
      </c>
      <c r="I83" s="5" t="s">
        <v>3</v>
      </c>
      <c r="J83" s="5" t="s">
        <v>4</v>
      </c>
    </row>
    <row r="84" spans="1:10" hidden="1" x14ac:dyDescent="0.25">
      <c r="A84">
        <v>103</v>
      </c>
      <c r="B84" s="1" t="s">
        <v>76</v>
      </c>
      <c r="C84" s="1" t="s">
        <v>79</v>
      </c>
      <c r="D84" s="1" t="s">
        <v>71</v>
      </c>
      <c r="E84" s="3">
        <v>0</v>
      </c>
      <c r="F84" s="3">
        <v>5</v>
      </c>
      <c r="G84" s="3">
        <v>-400</v>
      </c>
      <c r="H84" s="4">
        <v>0</v>
      </c>
      <c r="I84" s="1" t="s">
        <v>3</v>
      </c>
      <c r="J84" s="1" t="s">
        <v>4</v>
      </c>
    </row>
    <row r="85" spans="1:10" hidden="1" x14ac:dyDescent="0.25">
      <c r="A85">
        <v>90</v>
      </c>
      <c r="B85" s="5" t="s">
        <v>69</v>
      </c>
      <c r="C85" s="5" t="s">
        <v>1</v>
      </c>
      <c r="D85" s="5" t="s">
        <v>71</v>
      </c>
      <c r="E85" s="6">
        <v>2742</v>
      </c>
      <c r="F85" s="6">
        <v>5</v>
      </c>
      <c r="G85" s="6">
        <v>200</v>
      </c>
      <c r="H85" s="7">
        <v>20000</v>
      </c>
      <c r="I85" s="5" t="s">
        <v>3</v>
      </c>
      <c r="J85" s="5" t="s">
        <v>4</v>
      </c>
    </row>
    <row r="86" spans="1:10" hidden="1" x14ac:dyDescent="0.25">
      <c r="A86">
        <v>92</v>
      </c>
      <c r="B86" s="5" t="s">
        <v>69</v>
      </c>
      <c r="C86" s="5" t="s">
        <v>1</v>
      </c>
      <c r="D86" s="5" t="s">
        <v>71</v>
      </c>
      <c r="E86" s="6">
        <v>2743</v>
      </c>
      <c r="F86" s="6">
        <v>9</v>
      </c>
      <c r="G86" s="6">
        <v>20000</v>
      </c>
      <c r="H86" s="7">
        <v>2000000</v>
      </c>
      <c r="I86" s="5" t="s">
        <v>72</v>
      </c>
      <c r="J86" s="5" t="s">
        <v>4</v>
      </c>
    </row>
    <row r="87" spans="1:10" hidden="1" x14ac:dyDescent="0.25">
      <c r="A87">
        <v>93</v>
      </c>
      <c r="B87" s="1" t="s">
        <v>69</v>
      </c>
      <c r="C87" s="1" t="s">
        <v>1</v>
      </c>
      <c r="D87" s="1" t="s">
        <v>71</v>
      </c>
      <c r="E87" s="3">
        <v>2744</v>
      </c>
      <c r="F87" s="3">
        <v>5</v>
      </c>
      <c r="G87" s="3">
        <v>200</v>
      </c>
      <c r="H87" s="4">
        <v>20000</v>
      </c>
      <c r="I87" s="1" t="s">
        <v>3</v>
      </c>
      <c r="J87" s="1" t="s">
        <v>4</v>
      </c>
    </row>
    <row r="88" spans="1:10" hidden="1" x14ac:dyDescent="0.25">
      <c r="A88">
        <v>107</v>
      </c>
      <c r="B88" s="1" t="s">
        <v>4</v>
      </c>
      <c r="C88" s="1" t="s">
        <v>83</v>
      </c>
      <c r="D88" s="1" t="s">
        <v>71</v>
      </c>
      <c r="E88" s="3">
        <v>0</v>
      </c>
      <c r="F88" s="3" t="s">
        <v>4</v>
      </c>
      <c r="G88" s="3">
        <v>0</v>
      </c>
      <c r="H88" s="4">
        <v>40</v>
      </c>
      <c r="I88" s="1" t="s">
        <v>3</v>
      </c>
      <c r="J88" s="1" t="s">
        <v>4</v>
      </c>
    </row>
    <row r="89" spans="1:10" hidden="1" x14ac:dyDescent="0.25">
      <c r="A89">
        <v>108</v>
      </c>
      <c r="B89" s="5" t="s">
        <v>4</v>
      </c>
      <c r="C89" s="5" t="s">
        <v>84</v>
      </c>
      <c r="D89" s="5" t="s">
        <v>71</v>
      </c>
      <c r="E89" s="6">
        <v>0</v>
      </c>
      <c r="F89" s="6" t="s">
        <v>4</v>
      </c>
      <c r="G89" s="6">
        <v>0</v>
      </c>
      <c r="H89" s="7">
        <v>-40</v>
      </c>
      <c r="I89" s="5" t="s">
        <v>3</v>
      </c>
      <c r="J89" s="5" t="s">
        <v>4</v>
      </c>
    </row>
    <row r="90" spans="1:10" hidden="1" x14ac:dyDescent="0.25">
      <c r="A90">
        <v>106</v>
      </c>
      <c r="B90" s="5" t="s">
        <v>81</v>
      </c>
      <c r="C90" s="5" t="s">
        <v>82</v>
      </c>
      <c r="D90" s="5" t="s">
        <v>71</v>
      </c>
      <c r="E90" s="6">
        <v>0</v>
      </c>
      <c r="F90" s="6">
        <v>5</v>
      </c>
      <c r="G90" s="6">
        <v>0</v>
      </c>
      <c r="H90" s="7">
        <v>40000</v>
      </c>
      <c r="I90" s="5" t="s">
        <v>3</v>
      </c>
      <c r="J90" s="5" t="s">
        <v>4</v>
      </c>
    </row>
    <row r="91" spans="1:10" hidden="1" x14ac:dyDescent="0.25">
      <c r="A91">
        <v>109</v>
      </c>
      <c r="B91" s="1" t="s">
        <v>81</v>
      </c>
      <c r="C91" s="1" t="s">
        <v>37</v>
      </c>
      <c r="D91" s="1" t="s">
        <v>71</v>
      </c>
      <c r="E91" s="3">
        <v>0</v>
      </c>
      <c r="F91" s="3" t="s">
        <v>4</v>
      </c>
      <c r="G91" s="3">
        <v>0</v>
      </c>
      <c r="H91" s="4">
        <v>-40000</v>
      </c>
      <c r="I91" s="1" t="s">
        <v>3</v>
      </c>
      <c r="J91" s="1" t="s">
        <v>4</v>
      </c>
    </row>
    <row r="92" spans="1:10" hidden="1" x14ac:dyDescent="0.25">
      <c r="A92">
        <v>91</v>
      </c>
      <c r="B92" s="1" t="s">
        <v>69</v>
      </c>
      <c r="C92" s="1" t="s">
        <v>6</v>
      </c>
      <c r="D92" s="1" t="s">
        <v>71</v>
      </c>
      <c r="E92" s="3">
        <v>2742</v>
      </c>
      <c r="F92" s="3">
        <v>5</v>
      </c>
      <c r="G92" s="3">
        <v>200</v>
      </c>
      <c r="H92" s="4">
        <v>20000</v>
      </c>
      <c r="I92" s="1" t="s">
        <v>3</v>
      </c>
      <c r="J92" s="1" t="s">
        <v>4</v>
      </c>
    </row>
    <row r="93" spans="1:10" hidden="1" x14ac:dyDescent="0.25">
      <c r="A93">
        <v>94</v>
      </c>
      <c r="B93" s="5" t="s">
        <v>69</v>
      </c>
      <c r="C93" s="5" t="s">
        <v>6</v>
      </c>
      <c r="D93" s="5" t="s">
        <v>71</v>
      </c>
      <c r="E93" s="6">
        <v>2744</v>
      </c>
      <c r="F93" s="6">
        <v>5</v>
      </c>
      <c r="G93" s="6">
        <v>200</v>
      </c>
      <c r="H93" s="7">
        <v>20000</v>
      </c>
      <c r="I93" s="5" t="s">
        <v>3</v>
      </c>
      <c r="J93" s="5" t="s">
        <v>4</v>
      </c>
    </row>
    <row r="94" spans="1:10" hidden="1" x14ac:dyDescent="0.25">
      <c r="A94">
        <v>15</v>
      </c>
      <c r="B94" s="1" t="s">
        <v>24</v>
      </c>
      <c r="C94" s="1" t="s">
        <v>1</v>
      </c>
      <c r="D94" s="1" t="s">
        <v>25</v>
      </c>
      <c r="E94" s="3">
        <v>5468</v>
      </c>
      <c r="F94" s="3">
        <v>15</v>
      </c>
      <c r="G94" s="3">
        <v>100</v>
      </c>
      <c r="H94" s="4">
        <v>10000</v>
      </c>
      <c r="I94" s="1" t="s">
        <v>3</v>
      </c>
      <c r="J94" s="1" t="s">
        <v>4</v>
      </c>
    </row>
    <row r="95" spans="1:10" hidden="1" x14ac:dyDescent="0.25">
      <c r="A95">
        <v>56</v>
      </c>
      <c r="B95" s="5" t="s">
        <v>51</v>
      </c>
      <c r="C95" t="s">
        <v>137</v>
      </c>
      <c r="D95" s="5" t="s">
        <v>25</v>
      </c>
      <c r="E95" s="6">
        <v>2</v>
      </c>
      <c r="F95" s="6">
        <v>15</v>
      </c>
      <c r="G95" s="6">
        <v>0</v>
      </c>
      <c r="H95" s="7">
        <v>10000</v>
      </c>
      <c r="I95" s="5" t="s">
        <v>3</v>
      </c>
      <c r="J95" s="5" t="s">
        <v>4</v>
      </c>
    </row>
    <row r="96" spans="1:10" hidden="1" x14ac:dyDescent="0.25">
      <c r="A96">
        <v>58</v>
      </c>
      <c r="B96" s="5" t="s">
        <v>52</v>
      </c>
      <c r="C96" s="5" t="s">
        <v>36</v>
      </c>
      <c r="D96" s="5" t="s">
        <v>25</v>
      </c>
      <c r="E96" s="6">
        <v>0</v>
      </c>
      <c r="F96" s="6" t="s">
        <v>4</v>
      </c>
      <c r="G96" s="6">
        <v>0</v>
      </c>
      <c r="H96" s="7">
        <v>-265</v>
      </c>
      <c r="I96" s="5" t="s">
        <v>3</v>
      </c>
      <c r="J96" s="5" t="s">
        <v>4</v>
      </c>
    </row>
    <row r="97" spans="1:10" hidden="1" x14ac:dyDescent="0.25">
      <c r="A97">
        <v>57</v>
      </c>
      <c r="B97" s="1" t="s">
        <v>51</v>
      </c>
      <c r="C97" s="1" t="s">
        <v>34</v>
      </c>
      <c r="D97" s="1" t="s">
        <v>25</v>
      </c>
      <c r="E97" s="3">
        <v>2</v>
      </c>
      <c r="F97" s="3">
        <v>15</v>
      </c>
      <c r="G97" s="3">
        <v>0</v>
      </c>
      <c r="H97" s="4">
        <v>1396</v>
      </c>
      <c r="I97" s="1" t="s">
        <v>3</v>
      </c>
      <c r="J97" s="1" t="s">
        <v>4</v>
      </c>
    </row>
    <row r="98" spans="1:10" hidden="1" x14ac:dyDescent="0.25">
      <c r="A98">
        <v>60</v>
      </c>
      <c r="B98" s="5" t="s">
        <v>52</v>
      </c>
      <c r="C98" s="5" t="s">
        <v>38</v>
      </c>
      <c r="D98" s="5" t="s">
        <v>25</v>
      </c>
      <c r="E98" s="6">
        <v>2</v>
      </c>
      <c r="F98" s="6">
        <v>15</v>
      </c>
      <c r="G98" s="6">
        <v>-100</v>
      </c>
      <c r="H98" s="7" t="s">
        <v>4</v>
      </c>
      <c r="I98" s="5" t="s">
        <v>3</v>
      </c>
      <c r="J98" s="5" t="s">
        <v>4</v>
      </c>
    </row>
    <row r="99" spans="1:10" hidden="1" x14ac:dyDescent="0.25">
      <c r="A99">
        <v>59</v>
      </c>
      <c r="B99" s="1" t="s">
        <v>52</v>
      </c>
      <c r="C99" s="1" t="s">
        <v>37</v>
      </c>
      <c r="D99" s="1" t="s">
        <v>25</v>
      </c>
      <c r="E99" s="3">
        <v>0</v>
      </c>
      <c r="F99" s="3" t="s">
        <v>4</v>
      </c>
      <c r="G99" s="3">
        <v>0</v>
      </c>
      <c r="H99" s="4">
        <v>-11131</v>
      </c>
      <c r="I99" s="1" t="s">
        <v>3</v>
      </c>
      <c r="J99" s="1" t="s">
        <v>4</v>
      </c>
    </row>
    <row r="100" spans="1:10" hidden="1" x14ac:dyDescent="0.25">
      <c r="A100">
        <v>16</v>
      </c>
      <c r="B100" s="5" t="s">
        <v>26</v>
      </c>
      <c r="C100" s="5" t="s">
        <v>6</v>
      </c>
      <c r="D100" s="5" t="s">
        <v>25</v>
      </c>
      <c r="E100" s="6">
        <v>5468</v>
      </c>
      <c r="F100" s="6">
        <v>15</v>
      </c>
      <c r="G100" s="6">
        <v>100</v>
      </c>
      <c r="H100" s="7">
        <v>10000</v>
      </c>
      <c r="I100" s="5" t="s">
        <v>3</v>
      </c>
      <c r="J100" s="5" t="s">
        <v>4</v>
      </c>
    </row>
    <row r="101" spans="1:10" hidden="1" x14ac:dyDescent="0.25">
      <c r="A101">
        <v>17</v>
      </c>
      <c r="B101" s="1" t="s">
        <v>27</v>
      </c>
      <c r="C101" s="1" t="s">
        <v>1</v>
      </c>
      <c r="D101" s="1" t="s">
        <v>28</v>
      </c>
      <c r="E101" s="3">
        <v>5716</v>
      </c>
      <c r="F101" s="3">
        <v>13</v>
      </c>
      <c r="G101" s="3">
        <v>75</v>
      </c>
      <c r="H101" s="4">
        <v>7500</v>
      </c>
      <c r="I101" s="1" t="s">
        <v>3</v>
      </c>
      <c r="J101" s="1" t="s">
        <v>4</v>
      </c>
    </row>
    <row r="102" spans="1:10" hidden="1" x14ac:dyDescent="0.25">
      <c r="A102">
        <v>61</v>
      </c>
      <c r="B102" s="1" t="s">
        <v>53</v>
      </c>
      <c r="C102" t="s">
        <v>137</v>
      </c>
      <c r="D102" s="1" t="s">
        <v>28</v>
      </c>
      <c r="E102" s="3">
        <v>2</v>
      </c>
      <c r="F102" s="3">
        <v>13</v>
      </c>
      <c r="G102" s="3">
        <v>0</v>
      </c>
      <c r="H102" s="4">
        <v>7500</v>
      </c>
      <c r="I102" s="1" t="s">
        <v>3</v>
      </c>
      <c r="J102" s="1" t="s">
        <v>4</v>
      </c>
    </row>
    <row r="103" spans="1:10" hidden="1" x14ac:dyDescent="0.25">
      <c r="A103">
        <v>63</v>
      </c>
      <c r="B103" s="1" t="s">
        <v>54</v>
      </c>
      <c r="C103" s="1" t="s">
        <v>36</v>
      </c>
      <c r="D103" s="1" t="s">
        <v>28</v>
      </c>
      <c r="E103" s="3">
        <v>0</v>
      </c>
      <c r="F103" s="3" t="s">
        <v>4</v>
      </c>
      <c r="G103" s="3">
        <v>0</v>
      </c>
      <c r="H103" s="4">
        <v>-191</v>
      </c>
      <c r="I103" s="1" t="s">
        <v>3</v>
      </c>
      <c r="J103" s="1" t="s">
        <v>4</v>
      </c>
    </row>
    <row r="104" spans="1:10" hidden="1" x14ac:dyDescent="0.25">
      <c r="A104">
        <v>62</v>
      </c>
      <c r="B104" s="5" t="s">
        <v>53</v>
      </c>
      <c r="C104" s="5" t="s">
        <v>34</v>
      </c>
      <c r="D104" s="5" t="s">
        <v>28</v>
      </c>
      <c r="E104" s="6">
        <v>2</v>
      </c>
      <c r="F104" s="6">
        <v>13</v>
      </c>
      <c r="G104" s="6">
        <v>0</v>
      </c>
      <c r="H104" s="7">
        <v>1006.5</v>
      </c>
      <c r="I104" s="5" t="s">
        <v>3</v>
      </c>
      <c r="J104" s="5" t="s">
        <v>4</v>
      </c>
    </row>
    <row r="105" spans="1:10" hidden="1" x14ac:dyDescent="0.25">
      <c r="A105">
        <v>65</v>
      </c>
      <c r="B105" s="1" t="s">
        <v>54</v>
      </c>
      <c r="C105" s="1" t="s">
        <v>38</v>
      </c>
      <c r="D105" s="1" t="s">
        <v>28</v>
      </c>
      <c r="E105" s="3">
        <v>2</v>
      </c>
      <c r="F105" s="3">
        <v>13</v>
      </c>
      <c r="G105" s="3">
        <v>-75</v>
      </c>
      <c r="H105" s="4" t="s">
        <v>4</v>
      </c>
      <c r="I105" s="1" t="s">
        <v>3</v>
      </c>
      <c r="J105" s="1" t="s">
        <v>4</v>
      </c>
    </row>
    <row r="106" spans="1:10" hidden="1" x14ac:dyDescent="0.25">
      <c r="A106">
        <v>64</v>
      </c>
      <c r="B106" s="5" t="s">
        <v>54</v>
      </c>
      <c r="C106" s="5" t="s">
        <v>37</v>
      </c>
      <c r="D106" s="5" t="s">
        <v>28</v>
      </c>
      <c r="E106" s="6">
        <v>0</v>
      </c>
      <c r="F106" s="6" t="s">
        <v>4</v>
      </c>
      <c r="G106" s="6">
        <v>0</v>
      </c>
      <c r="H106" s="7">
        <v>-8315.5</v>
      </c>
      <c r="I106" s="5" t="s">
        <v>3</v>
      </c>
      <c r="J106" s="5" t="s">
        <v>4</v>
      </c>
    </row>
    <row r="107" spans="1:10" hidden="1" x14ac:dyDescent="0.25">
      <c r="A107">
        <v>18</v>
      </c>
      <c r="B107" s="5" t="s">
        <v>29</v>
      </c>
      <c r="C107" s="5" t="s">
        <v>6</v>
      </c>
      <c r="D107" s="5" t="s">
        <v>28</v>
      </c>
      <c r="E107" s="6">
        <v>5716</v>
      </c>
      <c r="F107" s="6">
        <v>13</v>
      </c>
      <c r="G107" s="6">
        <v>75</v>
      </c>
      <c r="H107" s="7">
        <v>7500</v>
      </c>
      <c r="I107" s="5" t="s">
        <v>3</v>
      </c>
      <c r="J107" s="5" t="s">
        <v>4</v>
      </c>
    </row>
    <row r="108" spans="1:10" x14ac:dyDescent="0.25">
      <c r="A108">
        <v>97</v>
      </c>
      <c r="B108" s="1" t="s">
        <v>69</v>
      </c>
      <c r="C108" s="1" t="s">
        <v>1</v>
      </c>
      <c r="D108" s="1" t="s">
        <v>74</v>
      </c>
      <c r="E108" s="3">
        <v>2032</v>
      </c>
      <c r="F108" s="3">
        <v>9</v>
      </c>
      <c r="G108" s="3">
        <v>500</v>
      </c>
      <c r="H108" s="4">
        <v>50000</v>
      </c>
      <c r="I108" s="1" t="s">
        <v>72</v>
      </c>
      <c r="J108" s="1" t="s">
        <v>4</v>
      </c>
    </row>
    <row r="109" spans="1:10" x14ac:dyDescent="0.25">
      <c r="A109">
        <v>98</v>
      </c>
      <c r="B109" s="5" t="s">
        <v>69</v>
      </c>
      <c r="C109" s="5" t="s">
        <v>1</v>
      </c>
      <c r="D109" s="5" t="s">
        <v>74</v>
      </c>
      <c r="E109" s="6">
        <v>2033</v>
      </c>
      <c r="F109" s="6">
        <v>5</v>
      </c>
      <c r="G109" s="6">
        <v>500</v>
      </c>
      <c r="H109" s="7">
        <v>50000</v>
      </c>
      <c r="I109" s="5" t="s">
        <v>3</v>
      </c>
      <c r="J109" s="5" t="s">
        <v>4</v>
      </c>
    </row>
    <row r="110" spans="1:10" x14ac:dyDescent="0.25">
      <c r="A110">
        <v>99</v>
      </c>
      <c r="B110" s="1" t="s">
        <v>69</v>
      </c>
      <c r="C110" s="1" t="s">
        <v>6</v>
      </c>
      <c r="D110" s="1" t="s">
        <v>74</v>
      </c>
      <c r="E110" s="3">
        <v>2033</v>
      </c>
      <c r="F110" s="3">
        <v>5</v>
      </c>
      <c r="G110" s="3">
        <v>500</v>
      </c>
      <c r="H110" s="4">
        <v>50000</v>
      </c>
      <c r="I110" s="1" t="s">
        <v>3</v>
      </c>
      <c r="J110" s="1" t="s">
        <v>4</v>
      </c>
    </row>
    <row r="111" spans="1:10" hidden="1" x14ac:dyDescent="0.25">
      <c r="A111">
        <v>105</v>
      </c>
      <c r="B111" s="1" t="s">
        <v>80</v>
      </c>
      <c r="C111" s="1" t="s">
        <v>79</v>
      </c>
      <c r="D111" s="1" t="s">
        <v>70</v>
      </c>
      <c r="E111" s="3">
        <v>0</v>
      </c>
      <c r="F111" s="3">
        <v>5</v>
      </c>
      <c r="G111" s="3">
        <v>-500</v>
      </c>
      <c r="H111" s="4">
        <v>0</v>
      </c>
      <c r="I111" s="1" t="s">
        <v>3</v>
      </c>
      <c r="J111" s="1" t="s">
        <v>4</v>
      </c>
    </row>
    <row r="112" spans="1:10" hidden="1" x14ac:dyDescent="0.25">
      <c r="A112">
        <v>88</v>
      </c>
      <c r="B112" s="5" t="s">
        <v>69</v>
      </c>
      <c r="C112" s="5" t="s">
        <v>1</v>
      </c>
      <c r="D112" s="5" t="s">
        <v>70</v>
      </c>
      <c r="E112" s="6">
        <v>2194</v>
      </c>
      <c r="F112" s="6">
        <v>5</v>
      </c>
      <c r="G112" s="6">
        <v>500</v>
      </c>
      <c r="H112" s="7">
        <v>50000</v>
      </c>
      <c r="I112" s="5" t="s">
        <v>3</v>
      </c>
      <c r="J112" s="5" t="s">
        <v>4</v>
      </c>
    </row>
    <row r="113" spans="1:10" hidden="1" x14ac:dyDescent="0.25">
      <c r="A113">
        <v>112</v>
      </c>
      <c r="B113" s="5" t="s">
        <v>85</v>
      </c>
      <c r="C113" s="5" t="s">
        <v>82</v>
      </c>
      <c r="D113" s="5" t="s">
        <v>70</v>
      </c>
      <c r="E113" s="6">
        <v>0</v>
      </c>
      <c r="F113" s="6">
        <v>5</v>
      </c>
      <c r="G113" s="6">
        <v>0</v>
      </c>
      <c r="H113" s="7">
        <v>50000</v>
      </c>
      <c r="I113" s="5" t="s">
        <v>3</v>
      </c>
      <c r="J113" s="5" t="s">
        <v>4</v>
      </c>
    </row>
    <row r="114" spans="1:10" hidden="1" x14ac:dyDescent="0.25">
      <c r="A114">
        <v>113</v>
      </c>
      <c r="B114" s="1" t="s">
        <v>85</v>
      </c>
      <c r="C114" s="1" t="s">
        <v>37</v>
      </c>
      <c r="D114" s="1" t="s">
        <v>70</v>
      </c>
      <c r="E114" s="3">
        <v>0</v>
      </c>
      <c r="F114" s="3" t="s">
        <v>4</v>
      </c>
      <c r="G114" s="3">
        <v>0</v>
      </c>
      <c r="H114" s="4">
        <v>-50000</v>
      </c>
      <c r="I114" s="1" t="s">
        <v>3</v>
      </c>
      <c r="J114" s="1" t="s">
        <v>4</v>
      </c>
    </row>
    <row r="115" spans="1:10" hidden="1" x14ac:dyDescent="0.25">
      <c r="A115">
        <v>89</v>
      </c>
      <c r="B115" s="1" t="s">
        <v>69</v>
      </c>
      <c r="C115" s="1" t="s">
        <v>6</v>
      </c>
      <c r="D115" s="1" t="s">
        <v>70</v>
      </c>
      <c r="E115" s="3">
        <v>2194</v>
      </c>
      <c r="F115" s="3">
        <v>5</v>
      </c>
      <c r="G115" s="3">
        <v>500</v>
      </c>
      <c r="H115" s="4">
        <v>50000</v>
      </c>
      <c r="I115" s="1" t="s">
        <v>3</v>
      </c>
      <c r="J115" s="1" t="s">
        <v>4</v>
      </c>
    </row>
    <row r="116" spans="1:10" hidden="1" x14ac:dyDescent="0.25">
      <c r="A116">
        <v>66</v>
      </c>
      <c r="B116" s="5" t="s">
        <v>55</v>
      </c>
      <c r="C116" s="5" t="s">
        <v>1</v>
      </c>
      <c r="D116" s="5" t="s">
        <v>56</v>
      </c>
      <c r="E116" s="6">
        <v>3658</v>
      </c>
      <c r="F116" s="6">
        <v>24</v>
      </c>
      <c r="G116" s="6">
        <v>100</v>
      </c>
      <c r="H116" s="7">
        <v>10000</v>
      </c>
      <c r="I116" s="5" t="s">
        <v>3</v>
      </c>
      <c r="J116" s="5" t="s">
        <v>4</v>
      </c>
    </row>
    <row r="117" spans="1:10" hidden="1" x14ac:dyDescent="0.25">
      <c r="A117">
        <v>80</v>
      </c>
      <c r="B117" s="5" t="s">
        <v>64</v>
      </c>
      <c r="C117" t="s">
        <v>137</v>
      </c>
      <c r="D117" s="5" t="s">
        <v>56</v>
      </c>
      <c r="E117" s="6">
        <v>1</v>
      </c>
      <c r="F117" s="6">
        <v>24</v>
      </c>
      <c r="G117" s="6">
        <v>0</v>
      </c>
      <c r="H117" s="7">
        <v>10000</v>
      </c>
      <c r="I117" s="5" t="s">
        <v>3</v>
      </c>
      <c r="J117" s="5" t="s">
        <v>4</v>
      </c>
    </row>
    <row r="118" spans="1:10" hidden="1" x14ac:dyDescent="0.25">
      <c r="A118">
        <v>84</v>
      </c>
      <c r="B118" s="5" t="s">
        <v>67</v>
      </c>
      <c r="C118" s="5" t="s">
        <v>36</v>
      </c>
      <c r="D118" s="5" t="s">
        <v>56</v>
      </c>
      <c r="E118" s="6">
        <v>0</v>
      </c>
      <c r="F118" s="6" t="s">
        <v>4</v>
      </c>
      <c r="G118" s="6">
        <v>0</v>
      </c>
      <c r="H118" s="7">
        <v>-7.22</v>
      </c>
      <c r="I118" s="5" t="s">
        <v>3</v>
      </c>
      <c r="J118" s="5" t="s">
        <v>4</v>
      </c>
    </row>
    <row r="119" spans="1:10" hidden="1" x14ac:dyDescent="0.25">
      <c r="A119">
        <v>81</v>
      </c>
      <c r="B119" s="1" t="s">
        <v>64</v>
      </c>
      <c r="C119" s="1" t="s">
        <v>34</v>
      </c>
      <c r="D119" s="1" t="s">
        <v>56</v>
      </c>
      <c r="E119" s="3">
        <v>1</v>
      </c>
      <c r="F119" s="3">
        <v>24</v>
      </c>
      <c r="G119" s="3">
        <v>0</v>
      </c>
      <c r="H119" s="4">
        <v>38</v>
      </c>
      <c r="I119" s="1" t="s">
        <v>3</v>
      </c>
      <c r="J119" s="1" t="s">
        <v>4</v>
      </c>
    </row>
    <row r="120" spans="1:10" hidden="1" x14ac:dyDescent="0.25">
      <c r="A120">
        <v>85</v>
      </c>
      <c r="B120" s="1" t="s">
        <v>67</v>
      </c>
      <c r="C120" s="1" t="s">
        <v>38</v>
      </c>
      <c r="D120" s="1" t="s">
        <v>56</v>
      </c>
      <c r="E120" s="3">
        <v>1</v>
      </c>
      <c r="F120" s="3">
        <v>24</v>
      </c>
      <c r="G120" s="3">
        <v>-100</v>
      </c>
      <c r="H120" s="4" t="s">
        <v>4</v>
      </c>
      <c r="I120" s="1" t="s">
        <v>3</v>
      </c>
      <c r="J120" s="1" t="s">
        <v>4</v>
      </c>
    </row>
    <row r="121" spans="1:10" hidden="1" x14ac:dyDescent="0.25">
      <c r="A121">
        <v>67</v>
      </c>
      <c r="B121" s="1" t="s">
        <v>55</v>
      </c>
      <c r="C121" s="1" t="s">
        <v>6</v>
      </c>
      <c r="D121" s="1" t="s">
        <v>56</v>
      </c>
      <c r="E121" s="3">
        <v>3658</v>
      </c>
      <c r="F121" s="3">
        <v>24</v>
      </c>
      <c r="G121" s="3">
        <v>100</v>
      </c>
      <c r="H121" s="4">
        <v>10000</v>
      </c>
      <c r="I121" s="1" t="s">
        <v>3</v>
      </c>
      <c r="J121" s="1" t="s">
        <v>4</v>
      </c>
    </row>
    <row r="122" spans="1:10" hidden="1" x14ac:dyDescent="0.25">
      <c r="A122">
        <v>68</v>
      </c>
      <c r="B122" s="5" t="s">
        <v>57</v>
      </c>
      <c r="C122" s="5" t="s">
        <v>1</v>
      </c>
      <c r="D122" s="5" t="s">
        <v>58</v>
      </c>
      <c r="E122" s="6">
        <v>2882</v>
      </c>
      <c r="F122" s="6">
        <v>8</v>
      </c>
      <c r="G122" s="6">
        <v>200</v>
      </c>
      <c r="H122" s="7">
        <v>20000</v>
      </c>
      <c r="I122" s="5" t="s">
        <v>3</v>
      </c>
      <c r="J122" s="5" t="s">
        <v>4</v>
      </c>
    </row>
    <row r="123" spans="1:10" hidden="1" x14ac:dyDescent="0.25">
      <c r="A123">
        <v>86</v>
      </c>
      <c r="B123" s="5" t="s">
        <v>68</v>
      </c>
      <c r="C123" t="s">
        <v>137</v>
      </c>
      <c r="D123" s="5" t="s">
        <v>58</v>
      </c>
      <c r="E123" s="6">
        <v>1</v>
      </c>
      <c r="F123" s="6">
        <v>8</v>
      </c>
      <c r="G123" s="6">
        <v>0</v>
      </c>
      <c r="H123" s="7">
        <v>20000</v>
      </c>
      <c r="I123" s="5" t="s">
        <v>3</v>
      </c>
      <c r="J123" s="5" t="s">
        <v>4</v>
      </c>
    </row>
    <row r="124" spans="1:10" hidden="1" x14ac:dyDescent="0.25">
      <c r="A124">
        <v>100</v>
      </c>
      <c r="B124" s="5" t="s">
        <v>75</v>
      </c>
      <c r="C124" s="5" t="s">
        <v>36</v>
      </c>
      <c r="D124" s="5" t="s">
        <v>58</v>
      </c>
      <c r="E124" s="6">
        <v>0</v>
      </c>
      <c r="F124" s="6" t="s">
        <v>4</v>
      </c>
      <c r="G124" s="6">
        <v>0</v>
      </c>
      <c r="H124" s="7">
        <v>-14.44</v>
      </c>
      <c r="I124" s="5" t="s">
        <v>3</v>
      </c>
      <c r="J124" s="5" t="s">
        <v>4</v>
      </c>
    </row>
    <row r="125" spans="1:10" hidden="1" x14ac:dyDescent="0.25">
      <c r="A125">
        <v>87</v>
      </c>
      <c r="B125" s="1" t="s">
        <v>68</v>
      </c>
      <c r="C125" s="1" t="s">
        <v>34</v>
      </c>
      <c r="D125" s="1" t="s">
        <v>58</v>
      </c>
      <c r="E125" s="3">
        <v>1</v>
      </c>
      <c r="F125" s="3">
        <v>8</v>
      </c>
      <c r="G125" s="3">
        <v>0</v>
      </c>
      <c r="H125" s="4">
        <v>76</v>
      </c>
      <c r="I125" s="1" t="s">
        <v>3</v>
      </c>
      <c r="J125" s="1" t="s">
        <v>4</v>
      </c>
    </row>
    <row r="126" spans="1:10" hidden="1" x14ac:dyDescent="0.25">
      <c r="A126">
        <v>101</v>
      </c>
      <c r="B126" s="1" t="s">
        <v>75</v>
      </c>
      <c r="C126" s="1" t="s">
        <v>38</v>
      </c>
      <c r="D126" s="1" t="s">
        <v>58</v>
      </c>
      <c r="E126" s="3">
        <v>1</v>
      </c>
      <c r="F126" s="3">
        <v>8</v>
      </c>
      <c r="G126" s="3">
        <v>-200</v>
      </c>
      <c r="H126" s="4" t="s">
        <v>4</v>
      </c>
      <c r="I126" s="1" t="s">
        <v>3</v>
      </c>
      <c r="J126" s="1" t="s">
        <v>4</v>
      </c>
    </row>
    <row r="127" spans="1:10" hidden="1" x14ac:dyDescent="0.25">
      <c r="A127">
        <v>69</v>
      </c>
      <c r="B127" s="1" t="s">
        <v>57</v>
      </c>
      <c r="C127" s="1" t="s">
        <v>6</v>
      </c>
      <c r="D127" s="1" t="s">
        <v>58</v>
      </c>
      <c r="E127" s="3">
        <v>2882</v>
      </c>
      <c r="F127" s="3">
        <v>8</v>
      </c>
      <c r="G127" s="3">
        <v>200</v>
      </c>
      <c r="H127" s="4">
        <v>20000</v>
      </c>
      <c r="I127" s="1" t="s">
        <v>3</v>
      </c>
      <c r="J127" s="1" t="s">
        <v>4</v>
      </c>
    </row>
    <row r="128" spans="1:10" hidden="1" x14ac:dyDescent="0.25">
      <c r="A128">
        <v>104</v>
      </c>
      <c r="B128" s="5" t="s">
        <v>80</v>
      </c>
      <c r="C128" s="5" t="s">
        <v>79</v>
      </c>
      <c r="D128" s="5" t="s">
        <v>62</v>
      </c>
      <c r="E128" s="6">
        <v>0</v>
      </c>
      <c r="F128" s="6">
        <v>21</v>
      </c>
      <c r="G128" s="6">
        <v>-500</v>
      </c>
      <c r="H128" s="7">
        <v>0</v>
      </c>
      <c r="I128" s="5" t="s">
        <v>3</v>
      </c>
      <c r="J128" s="5" t="s">
        <v>4</v>
      </c>
    </row>
    <row r="129" spans="1:10" hidden="1" x14ac:dyDescent="0.25">
      <c r="A129">
        <v>74</v>
      </c>
      <c r="B129" s="5" t="s">
        <v>61</v>
      </c>
      <c r="C129" s="5" t="s">
        <v>1</v>
      </c>
      <c r="D129" s="5" t="s">
        <v>62</v>
      </c>
      <c r="E129" s="6">
        <v>5120</v>
      </c>
      <c r="F129" s="6">
        <v>21</v>
      </c>
      <c r="G129" s="6">
        <v>500</v>
      </c>
      <c r="H129" s="7">
        <v>50000</v>
      </c>
      <c r="I129" s="5" t="s">
        <v>3</v>
      </c>
      <c r="J129" s="5" t="s">
        <v>4</v>
      </c>
    </row>
    <row r="130" spans="1:10" hidden="1" x14ac:dyDescent="0.25">
      <c r="A130">
        <v>110</v>
      </c>
      <c r="B130" s="5" t="s">
        <v>85</v>
      </c>
      <c r="C130" s="5" t="s">
        <v>82</v>
      </c>
      <c r="D130" s="5" t="s">
        <v>62</v>
      </c>
      <c r="E130" s="6">
        <v>0</v>
      </c>
      <c r="F130" s="6">
        <v>21</v>
      </c>
      <c r="G130" s="6">
        <v>0</v>
      </c>
      <c r="H130" s="7">
        <v>50000</v>
      </c>
      <c r="I130" s="5" t="s">
        <v>3</v>
      </c>
      <c r="J130" s="5" t="s">
        <v>4</v>
      </c>
    </row>
    <row r="131" spans="1:10" hidden="1" x14ac:dyDescent="0.25">
      <c r="A131">
        <v>111</v>
      </c>
      <c r="B131" s="1" t="s">
        <v>85</v>
      </c>
      <c r="C131" s="1" t="s">
        <v>37</v>
      </c>
      <c r="D131" s="1" t="s">
        <v>62</v>
      </c>
      <c r="E131" s="3">
        <v>0</v>
      </c>
      <c r="F131" s="3" t="s">
        <v>4</v>
      </c>
      <c r="G131" s="3">
        <v>0</v>
      </c>
      <c r="H131" s="4">
        <v>-50000</v>
      </c>
      <c r="I131" s="1" t="s">
        <v>3</v>
      </c>
      <c r="J131" s="1" t="s">
        <v>4</v>
      </c>
    </row>
    <row r="132" spans="1:10" hidden="1" x14ac:dyDescent="0.25">
      <c r="A132">
        <v>75</v>
      </c>
      <c r="B132" s="1" t="s">
        <v>61</v>
      </c>
      <c r="C132" s="1" t="s">
        <v>6</v>
      </c>
      <c r="D132" s="1" t="s">
        <v>62</v>
      </c>
      <c r="E132" s="3">
        <v>5120</v>
      </c>
      <c r="F132" s="3">
        <v>21</v>
      </c>
      <c r="G132" s="3">
        <v>500</v>
      </c>
      <c r="H132" s="4">
        <v>50000</v>
      </c>
      <c r="I132" s="1" t="s">
        <v>3</v>
      </c>
      <c r="J132" s="1" t="s">
        <v>4</v>
      </c>
    </row>
    <row r="133" spans="1:10" hidden="1" x14ac:dyDescent="0.25">
      <c r="A133">
        <v>82</v>
      </c>
      <c r="B133" s="5" t="s">
        <v>65</v>
      </c>
      <c r="C133" s="5" t="s">
        <v>1</v>
      </c>
      <c r="D133" s="5" t="s">
        <v>66</v>
      </c>
      <c r="E133" s="6">
        <v>5035</v>
      </c>
      <c r="F133" s="6">
        <v>23</v>
      </c>
      <c r="G133" s="6">
        <v>500</v>
      </c>
      <c r="H133" s="7">
        <v>50000</v>
      </c>
      <c r="I133" s="5" t="s">
        <v>3</v>
      </c>
      <c r="J133" s="5" t="s">
        <v>4</v>
      </c>
    </row>
    <row r="134" spans="1:10" hidden="1" x14ac:dyDescent="0.25">
      <c r="A134">
        <v>114</v>
      </c>
      <c r="B134" s="5" t="s">
        <v>86</v>
      </c>
      <c r="C134" t="s">
        <v>137</v>
      </c>
      <c r="D134" s="5" t="s">
        <v>66</v>
      </c>
      <c r="E134" s="6">
        <v>1</v>
      </c>
      <c r="F134" s="6">
        <v>23</v>
      </c>
      <c r="G134" s="6">
        <v>0</v>
      </c>
      <c r="H134" s="7">
        <v>50000</v>
      </c>
      <c r="I134" s="5" t="s">
        <v>3</v>
      </c>
      <c r="J134" s="5" t="s">
        <v>4</v>
      </c>
    </row>
    <row r="135" spans="1:10" hidden="1" x14ac:dyDescent="0.25">
      <c r="A135">
        <v>116</v>
      </c>
      <c r="B135" s="5" t="s">
        <v>87</v>
      </c>
      <c r="C135" s="5" t="s">
        <v>36</v>
      </c>
      <c r="D135" s="5" t="s">
        <v>66</v>
      </c>
      <c r="E135" s="6">
        <v>0</v>
      </c>
      <c r="F135" s="6" t="s">
        <v>4</v>
      </c>
      <c r="G135" s="6">
        <v>0</v>
      </c>
      <c r="H135" s="7">
        <v>-35.15</v>
      </c>
      <c r="I135" s="5" t="s">
        <v>3</v>
      </c>
      <c r="J135" s="5" t="s">
        <v>4</v>
      </c>
    </row>
    <row r="136" spans="1:10" hidden="1" x14ac:dyDescent="0.25">
      <c r="A136">
        <v>115</v>
      </c>
      <c r="B136" s="1" t="s">
        <v>86</v>
      </c>
      <c r="C136" s="1" t="s">
        <v>34</v>
      </c>
      <c r="D136" s="1" t="s">
        <v>66</v>
      </c>
      <c r="E136" s="3">
        <v>1</v>
      </c>
      <c r="F136" s="3">
        <v>23</v>
      </c>
      <c r="G136" s="3">
        <v>0</v>
      </c>
      <c r="H136" s="4">
        <v>185</v>
      </c>
      <c r="I136" s="1" t="s">
        <v>3</v>
      </c>
      <c r="J136" s="1" t="s">
        <v>4</v>
      </c>
    </row>
    <row r="137" spans="1:10" hidden="1" x14ac:dyDescent="0.25">
      <c r="A137">
        <v>118</v>
      </c>
      <c r="B137" s="5" t="s">
        <v>87</v>
      </c>
      <c r="C137" s="5" t="s">
        <v>38</v>
      </c>
      <c r="D137" s="5" t="s">
        <v>66</v>
      </c>
      <c r="E137" s="6">
        <v>1</v>
      </c>
      <c r="F137" s="6">
        <v>23</v>
      </c>
      <c r="G137" s="6">
        <v>-500</v>
      </c>
      <c r="H137" s="7" t="s">
        <v>4</v>
      </c>
      <c r="I137" s="5" t="s">
        <v>3</v>
      </c>
      <c r="J137" s="5" t="s">
        <v>4</v>
      </c>
    </row>
    <row r="138" spans="1:10" hidden="1" x14ac:dyDescent="0.25">
      <c r="A138">
        <v>117</v>
      </c>
      <c r="B138" s="1" t="s">
        <v>87</v>
      </c>
      <c r="C138" s="1" t="s">
        <v>37</v>
      </c>
      <c r="D138" s="1" t="s">
        <v>66</v>
      </c>
      <c r="E138" s="3">
        <v>0</v>
      </c>
      <c r="F138" s="3" t="s">
        <v>4</v>
      </c>
      <c r="G138" s="3">
        <v>0</v>
      </c>
      <c r="H138" s="4">
        <v>-50149.85</v>
      </c>
      <c r="I138" s="1" t="s">
        <v>3</v>
      </c>
      <c r="J138" s="1" t="s">
        <v>4</v>
      </c>
    </row>
    <row r="139" spans="1:10" hidden="1" x14ac:dyDescent="0.25">
      <c r="A139">
        <v>83</v>
      </c>
      <c r="B139" s="1" t="s">
        <v>65</v>
      </c>
      <c r="C139" s="1" t="s">
        <v>6</v>
      </c>
      <c r="D139" s="1" t="s">
        <v>66</v>
      </c>
      <c r="E139" s="3">
        <v>5035</v>
      </c>
      <c r="F139" s="3">
        <v>23</v>
      </c>
      <c r="G139" s="3">
        <v>500</v>
      </c>
      <c r="H139" s="4">
        <v>50000</v>
      </c>
      <c r="I139" s="1" t="s">
        <v>3</v>
      </c>
      <c r="J139" s="1" t="s">
        <v>4</v>
      </c>
    </row>
    <row r="140" spans="1:10" hidden="1" x14ac:dyDescent="0.25">
      <c r="A140">
        <v>123</v>
      </c>
      <c r="B140" s="1" t="s">
        <v>91</v>
      </c>
      <c r="C140" s="1" t="s">
        <v>79</v>
      </c>
      <c r="D140" s="1" t="s">
        <v>59</v>
      </c>
      <c r="E140" s="3">
        <v>0</v>
      </c>
      <c r="F140" s="3">
        <v>8</v>
      </c>
      <c r="G140" s="3">
        <v>-200</v>
      </c>
      <c r="H140" s="4">
        <v>0</v>
      </c>
      <c r="I140" s="1" t="s">
        <v>3</v>
      </c>
      <c r="J140" s="1" t="s">
        <v>4</v>
      </c>
    </row>
    <row r="141" spans="1:10" hidden="1" x14ac:dyDescent="0.25">
      <c r="A141">
        <v>70</v>
      </c>
      <c r="B141" s="5" t="s">
        <v>57</v>
      </c>
      <c r="C141" s="5" t="s">
        <v>1</v>
      </c>
      <c r="D141" s="5" t="s">
        <v>59</v>
      </c>
      <c r="E141" s="6">
        <v>356</v>
      </c>
      <c r="F141" s="6">
        <v>8</v>
      </c>
      <c r="G141" s="6">
        <v>200</v>
      </c>
      <c r="H141" s="7">
        <v>20000</v>
      </c>
      <c r="I141" s="5" t="s">
        <v>3</v>
      </c>
      <c r="J141" s="5" t="s">
        <v>4</v>
      </c>
    </row>
    <row r="142" spans="1:10" hidden="1" x14ac:dyDescent="0.25">
      <c r="A142">
        <v>119</v>
      </c>
      <c r="B142" s="1" t="s">
        <v>88</v>
      </c>
      <c r="C142" t="s">
        <v>136</v>
      </c>
      <c r="D142" s="1" t="s">
        <v>59</v>
      </c>
      <c r="E142" s="3">
        <v>0</v>
      </c>
      <c r="F142" s="3">
        <v>8</v>
      </c>
      <c r="G142" s="3">
        <v>0</v>
      </c>
      <c r="H142" s="4">
        <v>220</v>
      </c>
      <c r="I142" s="1" t="s">
        <v>3</v>
      </c>
      <c r="J142" s="1" t="s">
        <v>4</v>
      </c>
    </row>
    <row r="143" spans="1:10" hidden="1" x14ac:dyDescent="0.25">
      <c r="A143">
        <v>127</v>
      </c>
      <c r="B143" s="1" t="s">
        <v>4</v>
      </c>
      <c r="C143" s="1" t="s">
        <v>83</v>
      </c>
      <c r="D143" s="1" t="s">
        <v>59</v>
      </c>
      <c r="E143" s="3">
        <v>0</v>
      </c>
      <c r="F143" s="3" t="s">
        <v>4</v>
      </c>
      <c r="G143" s="3">
        <v>0</v>
      </c>
      <c r="H143" s="4">
        <v>44</v>
      </c>
      <c r="I143" s="1" t="s">
        <v>3</v>
      </c>
      <c r="J143" s="1" t="s">
        <v>4</v>
      </c>
    </row>
    <row r="144" spans="1:10" hidden="1" x14ac:dyDescent="0.25">
      <c r="A144">
        <v>128</v>
      </c>
      <c r="B144" s="5" t="s">
        <v>4</v>
      </c>
      <c r="C144" s="5" t="s">
        <v>84</v>
      </c>
      <c r="D144" s="5" t="s">
        <v>59</v>
      </c>
      <c r="E144" s="6">
        <v>0</v>
      </c>
      <c r="F144" s="6" t="s">
        <v>4</v>
      </c>
      <c r="G144" s="6">
        <v>0</v>
      </c>
      <c r="H144" s="7">
        <v>-140</v>
      </c>
      <c r="I144" s="5" t="s">
        <v>3</v>
      </c>
      <c r="J144" s="5" t="s">
        <v>4</v>
      </c>
    </row>
    <row r="145" spans="1:10" hidden="1" x14ac:dyDescent="0.25">
      <c r="A145">
        <v>120</v>
      </c>
      <c r="B145" s="5" t="s">
        <v>89</v>
      </c>
      <c r="C145" s="5" t="s">
        <v>36</v>
      </c>
      <c r="D145" s="5" t="s">
        <v>59</v>
      </c>
      <c r="E145" s="6">
        <v>0</v>
      </c>
      <c r="F145" s="6" t="s">
        <v>4</v>
      </c>
      <c r="G145" s="6">
        <v>0</v>
      </c>
      <c r="H145" s="7">
        <v>-41.8</v>
      </c>
      <c r="I145" s="5" t="s">
        <v>3</v>
      </c>
      <c r="J145" s="5" t="s">
        <v>4</v>
      </c>
    </row>
    <row r="146" spans="1:10" hidden="1" x14ac:dyDescent="0.25">
      <c r="A146">
        <v>126</v>
      </c>
      <c r="B146" s="5" t="s">
        <v>93</v>
      </c>
      <c r="C146" s="5" t="s">
        <v>82</v>
      </c>
      <c r="D146" s="5" t="s">
        <v>59</v>
      </c>
      <c r="E146" s="6">
        <v>0</v>
      </c>
      <c r="F146" s="6">
        <v>8</v>
      </c>
      <c r="G146" s="6">
        <v>0</v>
      </c>
      <c r="H146" s="7">
        <v>20000</v>
      </c>
      <c r="I146" s="5" t="s">
        <v>3</v>
      </c>
      <c r="J146" s="5" t="s">
        <v>4</v>
      </c>
    </row>
    <row r="147" spans="1:10" hidden="1" x14ac:dyDescent="0.25">
      <c r="A147">
        <v>121</v>
      </c>
      <c r="B147" s="1" t="s">
        <v>89</v>
      </c>
      <c r="C147" s="1" t="s">
        <v>37</v>
      </c>
      <c r="D147" s="1" t="s">
        <v>59</v>
      </c>
      <c r="E147" s="3">
        <v>0</v>
      </c>
      <c r="F147" s="3" t="s">
        <v>4</v>
      </c>
      <c r="G147" s="3">
        <v>0</v>
      </c>
      <c r="H147" s="4">
        <v>-178.2</v>
      </c>
      <c r="I147" s="1" t="s">
        <v>3</v>
      </c>
      <c r="J147" s="1" t="s">
        <v>4</v>
      </c>
    </row>
    <row r="148" spans="1:10" hidden="1" x14ac:dyDescent="0.25">
      <c r="A148">
        <v>129</v>
      </c>
      <c r="B148" s="1" t="s">
        <v>93</v>
      </c>
      <c r="C148" s="1" t="s">
        <v>37</v>
      </c>
      <c r="D148" s="1" t="s">
        <v>59</v>
      </c>
      <c r="E148" s="3">
        <v>0</v>
      </c>
      <c r="F148" s="3" t="s">
        <v>4</v>
      </c>
      <c r="G148" s="3">
        <v>0</v>
      </c>
      <c r="H148" s="4">
        <v>-19904</v>
      </c>
      <c r="I148" s="1" t="s">
        <v>3</v>
      </c>
      <c r="J148" s="1" t="s">
        <v>4</v>
      </c>
    </row>
    <row r="149" spans="1:10" hidden="1" x14ac:dyDescent="0.25">
      <c r="A149">
        <v>71</v>
      </c>
      <c r="B149" s="1" t="s">
        <v>57</v>
      </c>
      <c r="C149" s="1" t="s">
        <v>6</v>
      </c>
      <c r="D149" s="1" t="s">
        <v>59</v>
      </c>
      <c r="E149" s="3">
        <v>356</v>
      </c>
      <c r="F149" s="3">
        <v>8</v>
      </c>
      <c r="G149" s="3">
        <v>200</v>
      </c>
      <c r="H149" s="4">
        <v>20000</v>
      </c>
      <c r="I149" s="1" t="s">
        <v>3</v>
      </c>
      <c r="J149" s="1" t="s">
        <v>4</v>
      </c>
    </row>
    <row r="150" spans="1:10" hidden="1" x14ac:dyDescent="0.25">
      <c r="A150">
        <v>130</v>
      </c>
      <c r="B150" s="5" t="s">
        <v>93</v>
      </c>
      <c r="C150" s="5" t="s">
        <v>79</v>
      </c>
      <c r="D150" s="5" t="s">
        <v>63</v>
      </c>
      <c r="E150" s="6">
        <v>0</v>
      </c>
      <c r="F150" s="6">
        <v>21</v>
      </c>
      <c r="G150" s="6">
        <v>-200</v>
      </c>
      <c r="H150" s="7">
        <v>0</v>
      </c>
      <c r="I150" s="5" t="s">
        <v>3</v>
      </c>
      <c r="J150" s="5" t="s">
        <v>4</v>
      </c>
    </row>
    <row r="151" spans="1:10" hidden="1" x14ac:dyDescent="0.25">
      <c r="A151">
        <v>135</v>
      </c>
      <c r="B151" s="1" t="s">
        <v>95</v>
      </c>
      <c r="C151" s="1" t="s">
        <v>79</v>
      </c>
      <c r="D151" s="1" t="s">
        <v>63</v>
      </c>
      <c r="E151" s="3">
        <v>0</v>
      </c>
      <c r="F151" s="3">
        <v>21</v>
      </c>
      <c r="G151" s="3">
        <v>-150</v>
      </c>
      <c r="H151" s="4">
        <v>0</v>
      </c>
      <c r="I151" s="1" t="s">
        <v>3</v>
      </c>
      <c r="J151" s="1" t="s">
        <v>4</v>
      </c>
    </row>
    <row r="152" spans="1:10" hidden="1" x14ac:dyDescent="0.25">
      <c r="A152">
        <v>76</v>
      </c>
      <c r="B152" s="5" t="s">
        <v>61</v>
      </c>
      <c r="C152" s="5" t="s">
        <v>1</v>
      </c>
      <c r="D152" s="5" t="s">
        <v>63</v>
      </c>
      <c r="E152" s="6">
        <v>701</v>
      </c>
      <c r="F152" s="6">
        <v>21</v>
      </c>
      <c r="G152" s="6">
        <v>500</v>
      </c>
      <c r="H152" s="7">
        <v>50000</v>
      </c>
      <c r="I152" s="5" t="s">
        <v>3</v>
      </c>
      <c r="J152" s="5" t="s">
        <v>4</v>
      </c>
    </row>
    <row r="153" spans="1:10" hidden="1" x14ac:dyDescent="0.25">
      <c r="A153">
        <v>78</v>
      </c>
      <c r="B153" s="5" t="s">
        <v>61</v>
      </c>
      <c r="C153" s="5" t="s">
        <v>1</v>
      </c>
      <c r="D153" s="5" t="s">
        <v>63</v>
      </c>
      <c r="E153" s="6">
        <v>702</v>
      </c>
      <c r="F153" s="6">
        <v>21</v>
      </c>
      <c r="G153" s="6">
        <v>350</v>
      </c>
      <c r="H153" s="7">
        <v>35000</v>
      </c>
      <c r="I153" s="5" t="s">
        <v>3</v>
      </c>
      <c r="J153" s="5" t="s">
        <v>4</v>
      </c>
    </row>
    <row r="154" spans="1:10" hidden="1" x14ac:dyDescent="0.25">
      <c r="A154">
        <v>122</v>
      </c>
      <c r="B154" s="5" t="s">
        <v>90</v>
      </c>
      <c r="C154" t="s">
        <v>136</v>
      </c>
      <c r="D154" s="5" t="s">
        <v>63</v>
      </c>
      <c r="E154" s="6">
        <v>0</v>
      </c>
      <c r="F154" s="6">
        <v>21</v>
      </c>
      <c r="G154" s="6">
        <v>0</v>
      </c>
      <c r="H154" s="7">
        <v>935</v>
      </c>
      <c r="I154" s="5" t="s">
        <v>3</v>
      </c>
      <c r="J154" s="5" t="s">
        <v>4</v>
      </c>
    </row>
    <row r="155" spans="1:10" hidden="1" x14ac:dyDescent="0.25">
      <c r="A155">
        <v>143</v>
      </c>
      <c r="B155" s="1" t="s">
        <v>99</v>
      </c>
      <c r="C155" t="s">
        <v>136</v>
      </c>
      <c r="D155" s="1" t="s">
        <v>63</v>
      </c>
      <c r="E155" s="3">
        <v>0</v>
      </c>
      <c r="F155" s="3">
        <v>21</v>
      </c>
      <c r="G155" s="3">
        <v>0</v>
      </c>
      <c r="H155" s="4">
        <v>450</v>
      </c>
      <c r="I155" s="1" t="s">
        <v>3</v>
      </c>
      <c r="J155" s="1" t="s">
        <v>4</v>
      </c>
    </row>
    <row r="156" spans="1:10" hidden="1" x14ac:dyDescent="0.25">
      <c r="A156">
        <v>149</v>
      </c>
      <c r="B156" s="1" t="s">
        <v>103</v>
      </c>
      <c r="C156" t="s">
        <v>136</v>
      </c>
      <c r="D156" s="1" t="s">
        <v>63</v>
      </c>
      <c r="E156" s="3">
        <v>0</v>
      </c>
      <c r="F156" s="3">
        <v>21</v>
      </c>
      <c r="G156" s="3">
        <v>0</v>
      </c>
      <c r="H156" s="4">
        <v>70</v>
      </c>
      <c r="I156" s="1" t="s">
        <v>3</v>
      </c>
      <c r="J156" s="1" t="s">
        <v>4</v>
      </c>
    </row>
    <row r="157" spans="1:10" hidden="1" x14ac:dyDescent="0.25">
      <c r="A157">
        <v>155</v>
      </c>
      <c r="B157" s="1" t="s">
        <v>107</v>
      </c>
      <c r="C157" t="s">
        <v>136</v>
      </c>
      <c r="D157" s="1" t="s">
        <v>63</v>
      </c>
      <c r="E157" s="3">
        <v>0</v>
      </c>
      <c r="F157" s="3">
        <v>21</v>
      </c>
      <c r="G157" s="3">
        <v>0</v>
      </c>
      <c r="H157" s="4">
        <v>65</v>
      </c>
      <c r="I157" s="1" t="s">
        <v>3</v>
      </c>
      <c r="J157" s="1" t="s">
        <v>4</v>
      </c>
    </row>
    <row r="158" spans="1:10" hidden="1" x14ac:dyDescent="0.25">
      <c r="A158">
        <v>161</v>
      </c>
      <c r="B158" s="1" t="s">
        <v>111</v>
      </c>
      <c r="C158" t="s">
        <v>136</v>
      </c>
      <c r="D158" s="1" t="s">
        <v>63</v>
      </c>
      <c r="E158" s="3">
        <v>0</v>
      </c>
      <c r="F158" s="3">
        <v>21</v>
      </c>
      <c r="G158" s="3">
        <v>0</v>
      </c>
      <c r="H158" s="4">
        <v>65</v>
      </c>
      <c r="I158" s="1" t="s">
        <v>3</v>
      </c>
      <c r="J158" s="1" t="s">
        <v>4</v>
      </c>
    </row>
    <row r="159" spans="1:10" hidden="1" x14ac:dyDescent="0.25">
      <c r="A159">
        <v>167</v>
      </c>
      <c r="B159" s="1" t="s">
        <v>115</v>
      </c>
      <c r="C159" t="s">
        <v>137</v>
      </c>
      <c r="D159" s="1" t="s">
        <v>63</v>
      </c>
      <c r="E159" s="3">
        <v>6</v>
      </c>
      <c r="F159" s="3">
        <v>21</v>
      </c>
      <c r="G159" s="3">
        <v>0</v>
      </c>
      <c r="H159" s="4">
        <v>50000</v>
      </c>
      <c r="I159" s="1" t="s">
        <v>3</v>
      </c>
      <c r="J159" s="1" t="s">
        <v>4</v>
      </c>
    </row>
    <row r="160" spans="1:10" hidden="1" x14ac:dyDescent="0.25">
      <c r="A160">
        <v>132</v>
      </c>
      <c r="B160" s="5" t="s">
        <v>4</v>
      </c>
      <c r="C160" s="5" t="s">
        <v>83</v>
      </c>
      <c r="D160" s="5" t="s">
        <v>63</v>
      </c>
      <c r="E160" s="6">
        <v>0</v>
      </c>
      <c r="F160" s="6" t="s">
        <v>4</v>
      </c>
      <c r="G160" s="6">
        <v>0</v>
      </c>
      <c r="H160" s="7">
        <v>10</v>
      </c>
      <c r="I160" s="5" t="s">
        <v>3</v>
      </c>
      <c r="J160" s="5" t="s">
        <v>4</v>
      </c>
    </row>
    <row r="161" spans="1:10" hidden="1" x14ac:dyDescent="0.25">
      <c r="A161">
        <v>137</v>
      </c>
      <c r="B161" s="1" t="s">
        <v>4</v>
      </c>
      <c r="C161" s="1" t="s">
        <v>83</v>
      </c>
      <c r="D161" s="1" t="s">
        <v>63</v>
      </c>
      <c r="E161" s="3">
        <v>0</v>
      </c>
      <c r="F161" s="3" t="s">
        <v>4</v>
      </c>
      <c r="G161" s="3">
        <v>0</v>
      </c>
      <c r="H161" s="4">
        <v>34.5</v>
      </c>
      <c r="I161" s="1" t="s">
        <v>3</v>
      </c>
      <c r="J161" s="1" t="s">
        <v>4</v>
      </c>
    </row>
    <row r="162" spans="1:10" hidden="1" x14ac:dyDescent="0.25">
      <c r="A162">
        <v>133</v>
      </c>
      <c r="B162" s="1" t="s">
        <v>4</v>
      </c>
      <c r="C162" s="1" t="s">
        <v>84</v>
      </c>
      <c r="D162" s="1" t="s">
        <v>63</v>
      </c>
      <c r="E162" s="3">
        <v>0</v>
      </c>
      <c r="F162" s="3" t="s">
        <v>4</v>
      </c>
      <c r="G162" s="3">
        <v>0</v>
      </c>
      <c r="H162" s="4">
        <v>-140</v>
      </c>
      <c r="I162" s="1" t="s">
        <v>3</v>
      </c>
      <c r="J162" s="1" t="s">
        <v>4</v>
      </c>
    </row>
    <row r="163" spans="1:10" hidden="1" x14ac:dyDescent="0.25">
      <c r="A163">
        <v>138</v>
      </c>
      <c r="B163" s="5" t="s">
        <v>4</v>
      </c>
      <c r="C163" s="5" t="s">
        <v>84</v>
      </c>
      <c r="D163" s="5" t="s">
        <v>63</v>
      </c>
      <c r="E163" s="6">
        <v>0</v>
      </c>
      <c r="F163" s="6" t="s">
        <v>4</v>
      </c>
      <c r="G163" s="6">
        <v>0</v>
      </c>
      <c r="H163" s="7">
        <v>-105</v>
      </c>
      <c r="I163" s="5" t="s">
        <v>3</v>
      </c>
      <c r="J163" s="5" t="s">
        <v>4</v>
      </c>
    </row>
    <row r="164" spans="1:10" hidden="1" x14ac:dyDescent="0.25">
      <c r="A164">
        <v>124</v>
      </c>
      <c r="B164" s="5" t="s">
        <v>92</v>
      </c>
      <c r="C164" s="5" t="s">
        <v>36</v>
      </c>
      <c r="D164" s="5" t="s">
        <v>63</v>
      </c>
      <c r="E164" s="6">
        <v>0</v>
      </c>
      <c r="F164" s="6" t="s">
        <v>4</v>
      </c>
      <c r="G164" s="6">
        <v>0</v>
      </c>
      <c r="H164" s="7">
        <v>-177.65</v>
      </c>
      <c r="I164" s="5" t="s">
        <v>3</v>
      </c>
      <c r="J164" s="5" t="s">
        <v>4</v>
      </c>
    </row>
    <row r="165" spans="1:10" hidden="1" x14ac:dyDescent="0.25">
      <c r="A165">
        <v>144</v>
      </c>
      <c r="B165" s="5" t="s">
        <v>100</v>
      </c>
      <c r="C165" s="5" t="s">
        <v>36</v>
      </c>
      <c r="D165" s="5" t="s">
        <v>63</v>
      </c>
      <c r="E165" s="6">
        <v>0</v>
      </c>
      <c r="F165" s="6" t="s">
        <v>4</v>
      </c>
      <c r="G165" s="6">
        <v>0</v>
      </c>
      <c r="H165" s="7">
        <v>-85.5</v>
      </c>
      <c r="I165" s="5" t="s">
        <v>3</v>
      </c>
      <c r="J165" s="5" t="s">
        <v>4</v>
      </c>
    </row>
    <row r="166" spans="1:10" hidden="1" x14ac:dyDescent="0.25">
      <c r="A166">
        <v>150</v>
      </c>
      <c r="B166" s="5" t="s">
        <v>104</v>
      </c>
      <c r="C166" s="5" t="s">
        <v>36</v>
      </c>
      <c r="D166" s="5" t="s">
        <v>63</v>
      </c>
      <c r="E166" s="6">
        <v>0</v>
      </c>
      <c r="F166" s="6" t="s">
        <v>4</v>
      </c>
      <c r="G166" s="6">
        <v>0</v>
      </c>
      <c r="H166" s="7">
        <v>-13.3</v>
      </c>
      <c r="I166" s="5" t="s">
        <v>3</v>
      </c>
      <c r="J166" s="5" t="s">
        <v>4</v>
      </c>
    </row>
    <row r="167" spans="1:10" hidden="1" x14ac:dyDescent="0.25">
      <c r="A167">
        <v>156</v>
      </c>
      <c r="B167" s="5" t="s">
        <v>108</v>
      </c>
      <c r="C167" s="5" t="s">
        <v>36</v>
      </c>
      <c r="D167" s="5" t="s">
        <v>63</v>
      </c>
      <c r="E167" s="6">
        <v>0</v>
      </c>
      <c r="F167" s="6" t="s">
        <v>4</v>
      </c>
      <c r="G167" s="6">
        <v>0</v>
      </c>
      <c r="H167" s="7">
        <v>-12.35</v>
      </c>
      <c r="I167" s="5" t="s">
        <v>3</v>
      </c>
      <c r="J167" s="5" t="s">
        <v>4</v>
      </c>
    </row>
    <row r="168" spans="1:10" hidden="1" x14ac:dyDescent="0.25">
      <c r="A168">
        <v>162</v>
      </c>
      <c r="B168" s="5" t="s">
        <v>112</v>
      </c>
      <c r="C168" s="5" t="s">
        <v>36</v>
      </c>
      <c r="D168" s="5" t="s">
        <v>63</v>
      </c>
      <c r="E168" s="6">
        <v>0</v>
      </c>
      <c r="F168" s="6" t="s">
        <v>4</v>
      </c>
      <c r="G168" s="6">
        <v>0</v>
      </c>
      <c r="H168" s="7">
        <v>-12.35</v>
      </c>
      <c r="I168" s="5" t="s">
        <v>3</v>
      </c>
      <c r="J168" s="5" t="s">
        <v>4</v>
      </c>
    </row>
    <row r="169" spans="1:10" hidden="1" x14ac:dyDescent="0.25">
      <c r="A169">
        <v>169</v>
      </c>
      <c r="B169" s="1" t="s">
        <v>116</v>
      </c>
      <c r="C169" s="1" t="s">
        <v>36</v>
      </c>
      <c r="D169" s="1" t="s">
        <v>63</v>
      </c>
      <c r="E169" s="3">
        <v>0</v>
      </c>
      <c r="F169" s="3" t="s">
        <v>4</v>
      </c>
      <c r="G169" s="3">
        <v>0</v>
      </c>
      <c r="H169" s="4">
        <v>-152</v>
      </c>
      <c r="I169" s="1" t="s">
        <v>3</v>
      </c>
      <c r="J169" s="1" t="s">
        <v>4</v>
      </c>
    </row>
    <row r="170" spans="1:10" hidden="1" x14ac:dyDescent="0.25">
      <c r="A170">
        <v>131</v>
      </c>
      <c r="B170" s="1" t="s">
        <v>94</v>
      </c>
      <c r="C170" s="1" t="s">
        <v>82</v>
      </c>
      <c r="D170" s="1" t="s">
        <v>63</v>
      </c>
      <c r="E170" s="3">
        <v>0</v>
      </c>
      <c r="F170" s="3">
        <v>21</v>
      </c>
      <c r="G170" s="3">
        <v>0</v>
      </c>
      <c r="H170" s="4">
        <v>20000</v>
      </c>
      <c r="I170" s="1" t="s">
        <v>3</v>
      </c>
      <c r="J170" s="1" t="s">
        <v>4</v>
      </c>
    </row>
    <row r="171" spans="1:10" hidden="1" x14ac:dyDescent="0.25">
      <c r="A171">
        <v>136</v>
      </c>
      <c r="B171" s="5" t="s">
        <v>96</v>
      </c>
      <c r="C171" s="5" t="s">
        <v>82</v>
      </c>
      <c r="D171" s="5" t="s">
        <v>63</v>
      </c>
      <c r="E171" s="6">
        <v>0</v>
      </c>
      <c r="F171" s="6">
        <v>21</v>
      </c>
      <c r="G171" s="6">
        <v>0</v>
      </c>
      <c r="H171" s="7">
        <v>15000</v>
      </c>
      <c r="I171" s="5" t="s">
        <v>3</v>
      </c>
      <c r="J171" s="5" t="s">
        <v>4</v>
      </c>
    </row>
    <row r="172" spans="1:10" hidden="1" x14ac:dyDescent="0.25">
      <c r="A172">
        <v>168</v>
      </c>
      <c r="B172" s="5" t="s">
        <v>115</v>
      </c>
      <c r="C172" s="5" t="s">
        <v>34</v>
      </c>
      <c r="D172" s="5" t="s">
        <v>63</v>
      </c>
      <c r="E172" s="6">
        <v>6</v>
      </c>
      <c r="F172" s="6">
        <v>21</v>
      </c>
      <c r="G172" s="6">
        <v>0</v>
      </c>
      <c r="H172" s="7">
        <v>800</v>
      </c>
      <c r="I172" s="5" t="s">
        <v>3</v>
      </c>
      <c r="J172" s="5" t="s">
        <v>4</v>
      </c>
    </row>
    <row r="173" spans="1:10" hidden="1" x14ac:dyDescent="0.25">
      <c r="A173">
        <v>171</v>
      </c>
      <c r="B173" s="1" t="s">
        <v>116</v>
      </c>
      <c r="C173" s="1" t="s">
        <v>38</v>
      </c>
      <c r="D173" s="1" t="s">
        <v>63</v>
      </c>
      <c r="E173" s="3">
        <v>6</v>
      </c>
      <c r="F173" s="3">
        <v>21</v>
      </c>
      <c r="G173" s="3">
        <v>-500</v>
      </c>
      <c r="H173" s="4" t="s">
        <v>4</v>
      </c>
      <c r="I173" s="1" t="s">
        <v>3</v>
      </c>
      <c r="J173" s="1" t="s">
        <v>4</v>
      </c>
    </row>
    <row r="174" spans="1:10" hidden="1" x14ac:dyDescent="0.25">
      <c r="A174">
        <v>125</v>
      </c>
      <c r="B174" s="1" t="s">
        <v>92</v>
      </c>
      <c r="C174" s="1" t="s">
        <v>37</v>
      </c>
      <c r="D174" s="1" t="s">
        <v>63</v>
      </c>
      <c r="E174" s="3">
        <v>0</v>
      </c>
      <c r="F174" s="3" t="s">
        <v>4</v>
      </c>
      <c r="G174" s="3">
        <v>0</v>
      </c>
      <c r="H174" s="4">
        <v>-757.35</v>
      </c>
      <c r="I174" s="1" t="s">
        <v>3</v>
      </c>
      <c r="J174" s="1" t="s">
        <v>4</v>
      </c>
    </row>
    <row r="175" spans="1:10" hidden="1" x14ac:dyDescent="0.25">
      <c r="A175">
        <v>134</v>
      </c>
      <c r="B175" s="5" t="s">
        <v>94</v>
      </c>
      <c r="C175" s="5" t="s">
        <v>37</v>
      </c>
      <c r="D175" s="5" t="s">
        <v>63</v>
      </c>
      <c r="E175" s="6">
        <v>0</v>
      </c>
      <c r="F175" s="6" t="s">
        <v>4</v>
      </c>
      <c r="G175" s="6">
        <v>0</v>
      </c>
      <c r="H175" s="7">
        <v>-19870</v>
      </c>
      <c r="I175" s="5" t="s">
        <v>3</v>
      </c>
      <c r="J175" s="5" t="s">
        <v>4</v>
      </c>
    </row>
    <row r="176" spans="1:10" hidden="1" x14ac:dyDescent="0.25">
      <c r="A176">
        <v>139</v>
      </c>
      <c r="B176" s="1" t="s">
        <v>96</v>
      </c>
      <c r="C176" s="1" t="s">
        <v>37</v>
      </c>
      <c r="D176" s="1" t="s">
        <v>63</v>
      </c>
      <c r="E176" s="3">
        <v>0</v>
      </c>
      <c r="F176" s="3" t="s">
        <v>4</v>
      </c>
      <c r="G176" s="3">
        <v>0</v>
      </c>
      <c r="H176" s="4">
        <v>-14929.5</v>
      </c>
      <c r="I176" s="1" t="s">
        <v>3</v>
      </c>
      <c r="J176" s="1" t="s">
        <v>4</v>
      </c>
    </row>
    <row r="177" spans="1:10" hidden="1" x14ac:dyDescent="0.25">
      <c r="A177">
        <v>145</v>
      </c>
      <c r="B177" s="1" t="s">
        <v>100</v>
      </c>
      <c r="C177" s="1" t="s">
        <v>37</v>
      </c>
      <c r="D177" s="1" t="s">
        <v>63</v>
      </c>
      <c r="E177" s="3">
        <v>0</v>
      </c>
      <c r="F177" s="3" t="s">
        <v>4</v>
      </c>
      <c r="G177" s="3">
        <v>0</v>
      </c>
      <c r="H177" s="4">
        <v>-364.5</v>
      </c>
      <c r="I177" s="1" t="s">
        <v>3</v>
      </c>
      <c r="J177" s="1" t="s">
        <v>4</v>
      </c>
    </row>
    <row r="178" spans="1:10" hidden="1" x14ac:dyDescent="0.25">
      <c r="A178">
        <v>151</v>
      </c>
      <c r="B178" s="1" t="s">
        <v>104</v>
      </c>
      <c r="C178" s="1" t="s">
        <v>37</v>
      </c>
      <c r="D178" s="1" t="s">
        <v>63</v>
      </c>
      <c r="E178" s="3">
        <v>0</v>
      </c>
      <c r="F178" s="3" t="s">
        <v>4</v>
      </c>
      <c r="G178" s="3">
        <v>0</v>
      </c>
      <c r="H178" s="4">
        <v>-56.7</v>
      </c>
      <c r="I178" s="1" t="s">
        <v>3</v>
      </c>
      <c r="J178" s="1" t="s">
        <v>4</v>
      </c>
    </row>
    <row r="179" spans="1:10" hidden="1" x14ac:dyDescent="0.25">
      <c r="A179">
        <v>157</v>
      </c>
      <c r="B179" s="1" t="s">
        <v>108</v>
      </c>
      <c r="C179" s="1" t="s">
        <v>37</v>
      </c>
      <c r="D179" s="1" t="s">
        <v>63</v>
      </c>
      <c r="E179" s="3">
        <v>0</v>
      </c>
      <c r="F179" s="3" t="s">
        <v>4</v>
      </c>
      <c r="G179" s="3">
        <v>0</v>
      </c>
      <c r="H179" s="4">
        <v>-52.65</v>
      </c>
      <c r="I179" s="1" t="s">
        <v>3</v>
      </c>
      <c r="J179" s="1" t="s">
        <v>4</v>
      </c>
    </row>
    <row r="180" spans="1:10" hidden="1" x14ac:dyDescent="0.25">
      <c r="A180">
        <v>163</v>
      </c>
      <c r="B180" s="1" t="s">
        <v>112</v>
      </c>
      <c r="C180" s="1" t="s">
        <v>37</v>
      </c>
      <c r="D180" s="1" t="s">
        <v>63</v>
      </c>
      <c r="E180" s="3">
        <v>0</v>
      </c>
      <c r="F180" s="3" t="s">
        <v>4</v>
      </c>
      <c r="G180" s="3">
        <v>0</v>
      </c>
      <c r="H180" s="4">
        <v>-52.65</v>
      </c>
      <c r="I180" s="1" t="s">
        <v>3</v>
      </c>
      <c r="J180" s="1" t="s">
        <v>4</v>
      </c>
    </row>
    <row r="181" spans="1:10" hidden="1" x14ac:dyDescent="0.25">
      <c r="A181">
        <v>170</v>
      </c>
      <c r="B181" s="5" t="s">
        <v>116</v>
      </c>
      <c r="C181" s="5" t="s">
        <v>37</v>
      </c>
      <c r="D181" s="5" t="s">
        <v>63</v>
      </c>
      <c r="E181" s="6">
        <v>0</v>
      </c>
      <c r="F181" s="6" t="s">
        <v>4</v>
      </c>
      <c r="G181" s="6">
        <v>0</v>
      </c>
      <c r="H181" s="7">
        <v>-50648</v>
      </c>
      <c r="I181" s="5" t="s">
        <v>3</v>
      </c>
      <c r="J181" s="5" t="s">
        <v>4</v>
      </c>
    </row>
    <row r="182" spans="1:10" hidden="1" x14ac:dyDescent="0.25">
      <c r="A182">
        <v>77</v>
      </c>
      <c r="B182" s="1" t="s">
        <v>61</v>
      </c>
      <c r="C182" s="1" t="s">
        <v>6</v>
      </c>
      <c r="D182" s="1" t="s">
        <v>63</v>
      </c>
      <c r="E182" s="3">
        <v>701</v>
      </c>
      <c r="F182" s="3">
        <v>21</v>
      </c>
      <c r="G182" s="3">
        <v>500</v>
      </c>
      <c r="H182" s="4">
        <v>50000</v>
      </c>
      <c r="I182" s="1" t="s">
        <v>3</v>
      </c>
      <c r="J182" s="1" t="s">
        <v>4</v>
      </c>
    </row>
    <row r="183" spans="1:10" hidden="1" x14ac:dyDescent="0.25">
      <c r="A183">
        <v>79</v>
      </c>
      <c r="B183" s="1" t="s">
        <v>61</v>
      </c>
      <c r="C183" s="1" t="s">
        <v>6</v>
      </c>
      <c r="D183" s="1" t="s">
        <v>63</v>
      </c>
      <c r="E183" s="3">
        <v>702</v>
      </c>
      <c r="F183" s="3">
        <v>21</v>
      </c>
      <c r="G183" s="3">
        <v>350</v>
      </c>
      <c r="H183" s="4">
        <v>35000</v>
      </c>
      <c r="I183" s="1" t="s">
        <v>3</v>
      </c>
      <c r="J183" s="1" t="s">
        <v>4</v>
      </c>
    </row>
    <row r="184" spans="1:10" hidden="1" x14ac:dyDescent="0.25">
      <c r="A184">
        <v>19</v>
      </c>
      <c r="B184" s="1" t="s">
        <v>30</v>
      </c>
      <c r="C184" s="1" t="s">
        <v>1</v>
      </c>
      <c r="D184" s="1" t="s">
        <v>31</v>
      </c>
      <c r="E184" s="3">
        <v>10146</v>
      </c>
      <c r="F184" s="3">
        <v>0</v>
      </c>
      <c r="G184" s="3">
        <v>20</v>
      </c>
      <c r="H184" s="4">
        <v>2028.4</v>
      </c>
      <c r="I184" s="1" t="s">
        <v>3</v>
      </c>
      <c r="J184" s="1" t="s">
        <v>32</v>
      </c>
    </row>
    <row r="185" spans="1:10" hidden="1" x14ac:dyDescent="0.25">
      <c r="A185">
        <v>20</v>
      </c>
      <c r="B185" s="5" t="s">
        <v>30</v>
      </c>
      <c r="C185" s="5" t="s">
        <v>6</v>
      </c>
      <c r="D185" s="5" t="s">
        <v>31</v>
      </c>
      <c r="E185" s="6">
        <v>10146</v>
      </c>
      <c r="F185" s="6">
        <v>0</v>
      </c>
      <c r="G185" s="6">
        <v>20</v>
      </c>
      <c r="H185" s="7">
        <v>2028.4</v>
      </c>
      <c r="I185" s="5" t="s">
        <v>3</v>
      </c>
      <c r="J185" s="5" t="s">
        <v>4</v>
      </c>
    </row>
  </sheetData>
  <printOptions gridLines="1"/>
  <pageMargins left="0.75" right="0.75" top="1" bottom="1" header="0.5" footer="0.5"/>
  <pageSetup paperSize="9" orientation="landscape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D2A8-C578-4DCF-9CCA-74A5A4AC9184}">
  <dimension ref="A3:E26"/>
  <sheetViews>
    <sheetView workbookViewId="0">
      <selection activeCell="B17" sqref="B17"/>
    </sheetView>
  </sheetViews>
  <sheetFormatPr defaultRowHeight="12.5" x14ac:dyDescent="0.25"/>
  <cols>
    <col min="1" max="1" width="23.90625" bestFit="1" customWidth="1"/>
    <col min="2" max="4" width="31.90625" bestFit="1" customWidth="1"/>
    <col min="5" max="5" width="13.08984375" bestFit="1" customWidth="1"/>
  </cols>
  <sheetData>
    <row r="3" spans="1:5" x14ac:dyDescent="0.25">
      <c r="A3" s="11" t="s">
        <v>138</v>
      </c>
      <c r="B3" s="11" t="s">
        <v>124</v>
      </c>
      <c r="C3" s="9"/>
      <c r="D3" s="9"/>
      <c r="E3" s="10"/>
    </row>
    <row r="4" spans="1:5" x14ac:dyDescent="0.25">
      <c r="A4" s="11" t="s">
        <v>125</v>
      </c>
      <c r="B4" s="8" t="s">
        <v>79</v>
      </c>
      <c r="C4" s="17" t="s">
        <v>38</v>
      </c>
      <c r="D4" s="17" t="s">
        <v>6</v>
      </c>
      <c r="E4" s="14" t="s">
        <v>132</v>
      </c>
    </row>
    <row r="5" spans="1:5" x14ac:dyDescent="0.25">
      <c r="A5" s="8" t="s">
        <v>60</v>
      </c>
      <c r="B5" s="8"/>
      <c r="C5" s="17">
        <v>-200</v>
      </c>
      <c r="D5" s="17">
        <v>200</v>
      </c>
      <c r="E5" s="14">
        <v>0</v>
      </c>
    </row>
    <row r="6" spans="1:5" x14ac:dyDescent="0.25">
      <c r="A6" s="12" t="s">
        <v>73</v>
      </c>
      <c r="B6" s="12"/>
      <c r="C6">
        <v>-200</v>
      </c>
      <c r="D6">
        <v>200</v>
      </c>
      <c r="E6" s="15">
        <v>0</v>
      </c>
    </row>
    <row r="7" spans="1:5" x14ac:dyDescent="0.25">
      <c r="A7" s="12" t="s">
        <v>2</v>
      </c>
      <c r="B7" s="12"/>
      <c r="C7">
        <v>-2</v>
      </c>
      <c r="D7">
        <v>2</v>
      </c>
      <c r="E7" s="15">
        <v>0</v>
      </c>
    </row>
    <row r="8" spans="1:5" x14ac:dyDescent="0.25">
      <c r="A8" s="12" t="s">
        <v>8</v>
      </c>
      <c r="B8" s="12"/>
      <c r="C8">
        <v>-20</v>
      </c>
      <c r="D8">
        <v>20</v>
      </c>
      <c r="E8" s="15">
        <v>0</v>
      </c>
    </row>
    <row r="9" spans="1:5" x14ac:dyDescent="0.25">
      <c r="A9" s="12" t="s">
        <v>11</v>
      </c>
      <c r="B9" s="12"/>
      <c r="C9">
        <v>-30</v>
      </c>
      <c r="D9">
        <v>30</v>
      </c>
      <c r="E9" s="15">
        <v>0</v>
      </c>
    </row>
    <row r="10" spans="1:5" x14ac:dyDescent="0.25">
      <c r="A10" s="12" t="s">
        <v>14</v>
      </c>
      <c r="B10" s="12"/>
      <c r="C10">
        <v>-20</v>
      </c>
      <c r="D10">
        <v>20</v>
      </c>
      <c r="E10" s="15">
        <v>0</v>
      </c>
    </row>
    <row r="11" spans="1:5" x14ac:dyDescent="0.25">
      <c r="A11" s="12" t="s">
        <v>17</v>
      </c>
      <c r="B11" s="12"/>
      <c r="C11">
        <v>-15</v>
      </c>
      <c r="D11">
        <v>15</v>
      </c>
      <c r="E11" s="15">
        <v>0</v>
      </c>
    </row>
    <row r="12" spans="1:5" x14ac:dyDescent="0.25">
      <c r="A12" s="12" t="s">
        <v>20</v>
      </c>
      <c r="B12" s="12"/>
      <c r="C12">
        <v>-20</v>
      </c>
      <c r="D12">
        <v>20</v>
      </c>
      <c r="E12" s="15">
        <v>0</v>
      </c>
    </row>
    <row r="13" spans="1:5" x14ac:dyDescent="0.25">
      <c r="A13" s="12" t="s">
        <v>23</v>
      </c>
      <c r="B13" s="12"/>
      <c r="C13">
        <v>-20</v>
      </c>
      <c r="D13">
        <v>20</v>
      </c>
      <c r="E13" s="15">
        <v>0</v>
      </c>
    </row>
    <row r="14" spans="1:5" x14ac:dyDescent="0.25">
      <c r="A14" s="12" t="s">
        <v>71</v>
      </c>
      <c r="B14" s="12">
        <v>-400</v>
      </c>
      <c r="D14">
        <v>400</v>
      </c>
      <c r="E14" s="15">
        <v>0</v>
      </c>
    </row>
    <row r="15" spans="1:5" x14ac:dyDescent="0.25">
      <c r="A15" s="12" t="s">
        <v>25</v>
      </c>
      <c r="B15" s="12"/>
      <c r="C15">
        <v>-100</v>
      </c>
      <c r="D15">
        <v>100</v>
      </c>
      <c r="E15" s="15">
        <v>0</v>
      </c>
    </row>
    <row r="16" spans="1:5" x14ac:dyDescent="0.25">
      <c r="A16" s="12" t="s">
        <v>28</v>
      </c>
      <c r="B16" s="12"/>
      <c r="C16">
        <v>-75</v>
      </c>
      <c r="D16">
        <v>75</v>
      </c>
      <c r="E16" s="15">
        <v>0</v>
      </c>
    </row>
    <row r="17" spans="1:5" x14ac:dyDescent="0.25">
      <c r="A17" s="12" t="s">
        <v>74</v>
      </c>
      <c r="B17" s="12"/>
      <c r="D17">
        <v>500</v>
      </c>
      <c r="E17" s="15">
        <v>500</v>
      </c>
    </row>
    <row r="18" spans="1:5" x14ac:dyDescent="0.25">
      <c r="A18" s="12" t="s">
        <v>70</v>
      </c>
      <c r="B18" s="12">
        <v>-500</v>
      </c>
      <c r="D18">
        <v>500</v>
      </c>
      <c r="E18" s="15">
        <v>0</v>
      </c>
    </row>
    <row r="19" spans="1:5" x14ac:dyDescent="0.25">
      <c r="A19" s="12" t="s">
        <v>56</v>
      </c>
      <c r="B19" s="12"/>
      <c r="C19">
        <v>-100</v>
      </c>
      <c r="D19">
        <v>100</v>
      </c>
      <c r="E19" s="15">
        <v>0</v>
      </c>
    </row>
    <row r="20" spans="1:5" x14ac:dyDescent="0.25">
      <c r="A20" s="12" t="s">
        <v>58</v>
      </c>
      <c r="B20" s="12"/>
      <c r="C20">
        <v>-200</v>
      </c>
      <c r="D20">
        <v>200</v>
      </c>
      <c r="E20" s="15">
        <v>0</v>
      </c>
    </row>
    <row r="21" spans="1:5" x14ac:dyDescent="0.25">
      <c r="A21" s="12" t="s">
        <v>62</v>
      </c>
      <c r="B21" s="12">
        <v>-500</v>
      </c>
      <c r="D21">
        <v>500</v>
      </c>
      <c r="E21" s="15">
        <v>0</v>
      </c>
    </row>
    <row r="22" spans="1:5" x14ac:dyDescent="0.25">
      <c r="A22" s="12" t="s">
        <v>66</v>
      </c>
      <c r="B22" s="12"/>
      <c r="C22">
        <v>-500</v>
      </c>
      <c r="D22">
        <v>500</v>
      </c>
      <c r="E22" s="15">
        <v>0</v>
      </c>
    </row>
    <row r="23" spans="1:5" x14ac:dyDescent="0.25">
      <c r="A23" s="12" t="s">
        <v>59</v>
      </c>
      <c r="B23" s="12">
        <v>-200</v>
      </c>
      <c r="D23">
        <v>200</v>
      </c>
      <c r="E23" s="15">
        <v>0</v>
      </c>
    </row>
    <row r="24" spans="1:5" x14ac:dyDescent="0.25">
      <c r="A24" s="12" t="s">
        <v>63</v>
      </c>
      <c r="B24" s="12">
        <v>-350</v>
      </c>
      <c r="C24">
        <v>-500</v>
      </c>
      <c r="D24">
        <v>850</v>
      </c>
      <c r="E24" s="15">
        <v>0</v>
      </c>
    </row>
    <row r="25" spans="1:5" x14ac:dyDescent="0.25">
      <c r="A25" s="12" t="s">
        <v>31</v>
      </c>
      <c r="B25" s="12"/>
      <c r="D25">
        <v>20</v>
      </c>
      <c r="E25" s="15">
        <v>20</v>
      </c>
    </row>
    <row r="26" spans="1:5" x14ac:dyDescent="0.25">
      <c r="A26" s="13" t="s">
        <v>132</v>
      </c>
      <c r="B26" s="13">
        <v>-1950</v>
      </c>
      <c r="C26" s="18">
        <v>-2002</v>
      </c>
      <c r="D26" s="18">
        <v>4472</v>
      </c>
      <c r="E26" s="16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2135-21C4-46B3-BBCA-5A7D24CAE8CC}">
  <dimension ref="A1:J45"/>
  <sheetViews>
    <sheetView workbookViewId="0">
      <selection activeCell="I31" sqref="I31"/>
    </sheetView>
  </sheetViews>
  <sheetFormatPr defaultRowHeight="12.5" x14ac:dyDescent="0.25"/>
  <cols>
    <col min="2" max="2" width="19.08984375" customWidth="1"/>
    <col min="3" max="3" width="32.453125" customWidth="1"/>
    <col min="4" max="4" width="16.81640625" customWidth="1"/>
    <col min="5" max="5" width="12.26953125" customWidth="1"/>
    <col min="6" max="6" width="8.1796875" customWidth="1"/>
    <col min="7" max="7" width="19.26953125" customWidth="1"/>
    <col min="8" max="8" width="19" customWidth="1"/>
    <col min="9" max="9" width="11.54296875" customWidth="1"/>
    <col min="10" max="10" width="63.26953125" customWidth="1"/>
  </cols>
  <sheetData>
    <row r="1" spans="1:10" ht="13" x14ac:dyDescent="0.3">
      <c r="A1" s="48" t="s">
        <v>135</v>
      </c>
      <c r="B1" s="49" t="s">
        <v>123</v>
      </c>
      <c r="C1" s="49" t="s">
        <v>124</v>
      </c>
      <c r="D1" s="49" t="s">
        <v>125</v>
      </c>
      <c r="E1" s="49" t="s">
        <v>126</v>
      </c>
      <c r="F1" s="49" t="s">
        <v>127</v>
      </c>
      <c r="G1" s="49" t="s">
        <v>128</v>
      </c>
      <c r="H1" s="49" t="s">
        <v>129</v>
      </c>
      <c r="I1" s="49" t="s">
        <v>130</v>
      </c>
      <c r="J1" s="49" t="s">
        <v>131</v>
      </c>
    </row>
    <row r="2" spans="1:10" x14ac:dyDescent="0.25">
      <c r="A2" s="48">
        <v>73</v>
      </c>
      <c r="B2" s="50" t="s">
        <v>57</v>
      </c>
      <c r="C2" s="50" t="s">
        <v>6</v>
      </c>
      <c r="D2" s="50" t="s">
        <v>60</v>
      </c>
      <c r="E2" s="51">
        <v>2370</v>
      </c>
      <c r="F2" s="51">
        <v>8</v>
      </c>
      <c r="G2" s="51">
        <v>200</v>
      </c>
      <c r="H2" s="52">
        <v>20000</v>
      </c>
      <c r="I2" s="50" t="s">
        <v>3</v>
      </c>
      <c r="J2" s="50" t="s">
        <v>4</v>
      </c>
    </row>
    <row r="3" spans="1:10" x14ac:dyDescent="0.25">
      <c r="A3" s="48">
        <v>179</v>
      </c>
      <c r="B3" s="50" t="s">
        <v>120</v>
      </c>
      <c r="C3" s="48" t="s">
        <v>38</v>
      </c>
      <c r="D3" s="50" t="s">
        <v>60</v>
      </c>
      <c r="E3" s="51">
        <v>4</v>
      </c>
      <c r="F3" s="51">
        <v>8</v>
      </c>
      <c r="G3" s="51">
        <v>-200</v>
      </c>
      <c r="H3" s="52" t="s">
        <v>4</v>
      </c>
      <c r="I3" s="50" t="s">
        <v>3</v>
      </c>
      <c r="J3" s="50" t="s">
        <v>4</v>
      </c>
    </row>
    <row r="4" spans="1:10" x14ac:dyDescent="0.25">
      <c r="A4" s="48">
        <v>96</v>
      </c>
      <c r="B4" s="48" t="s">
        <v>69</v>
      </c>
      <c r="C4" s="48" t="s">
        <v>6</v>
      </c>
      <c r="D4" s="48" t="s">
        <v>73</v>
      </c>
      <c r="E4" s="51">
        <v>2722</v>
      </c>
      <c r="F4" s="51">
        <v>5</v>
      </c>
      <c r="G4" s="51">
        <v>200</v>
      </c>
      <c r="H4" s="52">
        <v>20000</v>
      </c>
      <c r="I4" s="48" t="s">
        <v>3</v>
      </c>
      <c r="J4" s="48" t="s">
        <v>4</v>
      </c>
    </row>
    <row r="5" spans="1:10" x14ac:dyDescent="0.25">
      <c r="A5" s="48">
        <v>184</v>
      </c>
      <c r="B5" s="48" t="s">
        <v>122</v>
      </c>
      <c r="C5" s="48" t="s">
        <v>38</v>
      </c>
      <c r="D5" s="48" t="s">
        <v>73</v>
      </c>
      <c r="E5" s="51">
        <v>4</v>
      </c>
      <c r="F5" s="51">
        <v>5</v>
      </c>
      <c r="G5" s="51">
        <v>-200</v>
      </c>
      <c r="H5" s="52" t="s">
        <v>4</v>
      </c>
      <c r="I5" s="48" t="s">
        <v>3</v>
      </c>
      <c r="J5" s="48" t="s">
        <v>4</v>
      </c>
    </row>
    <row r="6" spans="1:10" x14ac:dyDescent="0.25">
      <c r="A6" s="48">
        <v>2</v>
      </c>
      <c r="B6" s="48" t="s">
        <v>5</v>
      </c>
      <c r="C6" s="48" t="s">
        <v>6</v>
      </c>
      <c r="D6" s="48" t="s">
        <v>2</v>
      </c>
      <c r="E6" s="51">
        <v>17611</v>
      </c>
      <c r="F6" s="51">
        <v>22</v>
      </c>
      <c r="G6" s="51">
        <v>2</v>
      </c>
      <c r="H6" s="52">
        <v>200</v>
      </c>
      <c r="I6" s="48" t="s">
        <v>3</v>
      </c>
      <c r="J6" s="48" t="s">
        <v>4</v>
      </c>
    </row>
    <row r="7" spans="1:10" x14ac:dyDescent="0.25">
      <c r="A7" s="48">
        <v>25</v>
      </c>
      <c r="B7" s="50" t="s">
        <v>35</v>
      </c>
      <c r="C7" s="50" t="s">
        <v>38</v>
      </c>
      <c r="D7" s="50" t="s">
        <v>2</v>
      </c>
      <c r="E7" s="51">
        <v>2</v>
      </c>
      <c r="F7" s="51">
        <v>22</v>
      </c>
      <c r="G7" s="51">
        <v>-2</v>
      </c>
      <c r="H7" s="52" t="s">
        <v>4</v>
      </c>
      <c r="I7" s="50" t="s">
        <v>3</v>
      </c>
      <c r="J7" s="50" t="s">
        <v>4</v>
      </c>
    </row>
    <row r="8" spans="1:10" x14ac:dyDescent="0.25">
      <c r="A8" s="48">
        <v>4</v>
      </c>
      <c r="B8" s="48" t="s">
        <v>9</v>
      </c>
      <c r="C8" s="48" t="s">
        <v>6</v>
      </c>
      <c r="D8" s="48" t="s">
        <v>8</v>
      </c>
      <c r="E8" s="51">
        <v>21818</v>
      </c>
      <c r="F8" s="51">
        <v>30</v>
      </c>
      <c r="G8" s="51">
        <v>20</v>
      </c>
      <c r="H8" s="52">
        <v>2000</v>
      </c>
      <c r="I8" s="48" t="s">
        <v>3</v>
      </c>
      <c r="J8" s="48" t="s">
        <v>4</v>
      </c>
    </row>
    <row r="9" spans="1:10" x14ac:dyDescent="0.25">
      <c r="A9" s="48">
        <v>30</v>
      </c>
      <c r="B9" s="48" t="s">
        <v>40</v>
      </c>
      <c r="C9" s="48" t="s">
        <v>38</v>
      </c>
      <c r="D9" s="48" t="s">
        <v>8</v>
      </c>
      <c r="E9" s="51">
        <v>2</v>
      </c>
      <c r="F9" s="51">
        <v>30</v>
      </c>
      <c r="G9" s="51">
        <v>-20</v>
      </c>
      <c r="H9" s="52" t="s">
        <v>4</v>
      </c>
      <c r="I9" s="48" t="s">
        <v>3</v>
      </c>
      <c r="J9" s="48" t="s">
        <v>4</v>
      </c>
    </row>
    <row r="10" spans="1:10" x14ac:dyDescent="0.25">
      <c r="A10" s="48">
        <v>6</v>
      </c>
      <c r="B10" s="48" t="s">
        <v>12</v>
      </c>
      <c r="C10" s="48" t="s">
        <v>6</v>
      </c>
      <c r="D10" s="48" t="s">
        <v>11</v>
      </c>
      <c r="E10" s="51">
        <v>4900</v>
      </c>
      <c r="F10" s="51">
        <v>7</v>
      </c>
      <c r="G10" s="51">
        <v>30</v>
      </c>
      <c r="H10" s="52">
        <v>3000</v>
      </c>
      <c r="I10" s="48" t="s">
        <v>3</v>
      </c>
      <c r="J10" s="48" t="s">
        <v>4</v>
      </c>
    </row>
    <row r="11" spans="1:10" x14ac:dyDescent="0.25">
      <c r="A11" s="48">
        <v>35</v>
      </c>
      <c r="B11" s="50" t="s">
        <v>42</v>
      </c>
      <c r="C11" s="50" t="s">
        <v>38</v>
      </c>
      <c r="D11" s="50" t="s">
        <v>11</v>
      </c>
      <c r="E11" s="51">
        <v>2</v>
      </c>
      <c r="F11" s="51">
        <v>7</v>
      </c>
      <c r="G11" s="51">
        <v>-30</v>
      </c>
      <c r="H11" s="52" t="s">
        <v>4</v>
      </c>
      <c r="I11" s="50" t="s">
        <v>3</v>
      </c>
      <c r="J11" s="50" t="s">
        <v>4</v>
      </c>
    </row>
    <row r="12" spans="1:10" x14ac:dyDescent="0.25">
      <c r="A12" s="48">
        <v>8</v>
      </c>
      <c r="B12" s="48" t="s">
        <v>15</v>
      </c>
      <c r="C12" s="48" t="s">
        <v>6</v>
      </c>
      <c r="D12" s="48" t="s">
        <v>14</v>
      </c>
      <c r="E12" s="51">
        <v>2487</v>
      </c>
      <c r="F12" s="51">
        <v>5</v>
      </c>
      <c r="G12" s="51">
        <v>20</v>
      </c>
      <c r="H12" s="52">
        <v>2000</v>
      </c>
      <c r="I12" s="48" t="s">
        <v>3</v>
      </c>
      <c r="J12" s="48" t="s">
        <v>4</v>
      </c>
    </row>
    <row r="13" spans="1:10" x14ac:dyDescent="0.25">
      <c r="A13" s="48">
        <v>40</v>
      </c>
      <c r="B13" s="48" t="s">
        <v>44</v>
      </c>
      <c r="C13" s="48" t="s">
        <v>38</v>
      </c>
      <c r="D13" s="48" t="s">
        <v>14</v>
      </c>
      <c r="E13" s="51">
        <v>2</v>
      </c>
      <c r="F13" s="51">
        <v>5</v>
      </c>
      <c r="G13" s="51">
        <v>-20</v>
      </c>
      <c r="H13" s="52" t="s">
        <v>4</v>
      </c>
      <c r="I13" s="48" t="s">
        <v>3</v>
      </c>
      <c r="J13" s="48" t="s">
        <v>4</v>
      </c>
    </row>
    <row r="14" spans="1:10" x14ac:dyDescent="0.25">
      <c r="A14" s="48">
        <v>10</v>
      </c>
      <c r="B14" s="48" t="s">
        <v>18</v>
      </c>
      <c r="C14" s="48" t="s">
        <v>6</v>
      </c>
      <c r="D14" s="48" t="s">
        <v>17</v>
      </c>
      <c r="E14" s="51">
        <v>2382</v>
      </c>
      <c r="F14" s="51">
        <v>2</v>
      </c>
      <c r="G14" s="51">
        <v>15</v>
      </c>
      <c r="H14" s="52">
        <v>1500</v>
      </c>
      <c r="I14" s="48" t="s">
        <v>3</v>
      </c>
      <c r="J14" s="48" t="s">
        <v>4</v>
      </c>
    </row>
    <row r="15" spans="1:10" x14ac:dyDescent="0.25">
      <c r="A15" s="48">
        <v>45</v>
      </c>
      <c r="B15" s="50" t="s">
        <v>46</v>
      </c>
      <c r="C15" s="50" t="s">
        <v>38</v>
      </c>
      <c r="D15" s="50" t="s">
        <v>17</v>
      </c>
      <c r="E15" s="51">
        <v>2</v>
      </c>
      <c r="F15" s="51">
        <v>2</v>
      </c>
      <c r="G15" s="51">
        <v>-15</v>
      </c>
      <c r="H15" s="52" t="s">
        <v>4</v>
      </c>
      <c r="I15" s="50" t="s">
        <v>3</v>
      </c>
      <c r="J15" s="50" t="s">
        <v>4</v>
      </c>
    </row>
    <row r="16" spans="1:10" x14ac:dyDescent="0.25">
      <c r="A16" s="48">
        <v>12</v>
      </c>
      <c r="B16" s="48" t="s">
        <v>21</v>
      </c>
      <c r="C16" s="48" t="s">
        <v>6</v>
      </c>
      <c r="D16" s="48" t="s">
        <v>20</v>
      </c>
      <c r="E16" s="51">
        <v>4275</v>
      </c>
      <c r="F16" s="51">
        <v>6</v>
      </c>
      <c r="G16" s="51">
        <v>20</v>
      </c>
      <c r="H16" s="52">
        <v>2000</v>
      </c>
      <c r="I16" s="48" t="s">
        <v>3</v>
      </c>
      <c r="J16" s="48" t="s">
        <v>4</v>
      </c>
    </row>
    <row r="17" spans="1:10" x14ac:dyDescent="0.25">
      <c r="A17" s="48">
        <v>50</v>
      </c>
      <c r="B17" s="48" t="s">
        <v>48</v>
      </c>
      <c r="C17" s="48" t="s">
        <v>38</v>
      </c>
      <c r="D17" s="48" t="s">
        <v>20</v>
      </c>
      <c r="E17" s="51">
        <v>2</v>
      </c>
      <c r="F17" s="51">
        <v>6</v>
      </c>
      <c r="G17" s="51">
        <v>-20</v>
      </c>
      <c r="H17" s="52" t="s">
        <v>4</v>
      </c>
      <c r="I17" s="48" t="s">
        <v>3</v>
      </c>
      <c r="J17" s="48" t="s">
        <v>4</v>
      </c>
    </row>
    <row r="18" spans="1:10" x14ac:dyDescent="0.25">
      <c r="A18" s="48">
        <v>14</v>
      </c>
      <c r="B18" s="48" t="s">
        <v>22</v>
      </c>
      <c r="C18" s="48" t="s">
        <v>6</v>
      </c>
      <c r="D18" s="48" t="s">
        <v>23</v>
      </c>
      <c r="E18" s="51">
        <v>1213</v>
      </c>
      <c r="F18" s="51">
        <v>4</v>
      </c>
      <c r="G18" s="51">
        <v>20</v>
      </c>
      <c r="H18" s="52">
        <v>2000</v>
      </c>
      <c r="I18" s="48" t="s">
        <v>3</v>
      </c>
      <c r="J18" s="48" t="s">
        <v>4</v>
      </c>
    </row>
    <row r="19" spans="1:10" x14ac:dyDescent="0.25">
      <c r="A19" s="48">
        <v>55</v>
      </c>
      <c r="B19" s="50" t="s">
        <v>50</v>
      </c>
      <c r="C19" s="50" t="s">
        <v>38</v>
      </c>
      <c r="D19" s="50" t="s">
        <v>23</v>
      </c>
      <c r="E19" s="51">
        <v>2</v>
      </c>
      <c r="F19" s="51">
        <v>4</v>
      </c>
      <c r="G19" s="51">
        <v>-20</v>
      </c>
      <c r="H19" s="52" t="s">
        <v>4</v>
      </c>
      <c r="I19" s="50" t="s">
        <v>3</v>
      </c>
      <c r="J19" s="50" t="s">
        <v>4</v>
      </c>
    </row>
    <row r="20" spans="1:10" x14ac:dyDescent="0.25">
      <c r="A20" s="48">
        <v>91</v>
      </c>
      <c r="B20" s="50" t="s">
        <v>69</v>
      </c>
      <c r="C20" s="50" t="s">
        <v>6</v>
      </c>
      <c r="D20" s="50" t="s">
        <v>71</v>
      </c>
      <c r="E20" s="51">
        <v>2742</v>
      </c>
      <c r="F20" s="51">
        <v>5</v>
      </c>
      <c r="G20" s="51">
        <v>200</v>
      </c>
      <c r="H20" s="52">
        <v>20000</v>
      </c>
      <c r="I20" s="50" t="s">
        <v>3</v>
      </c>
      <c r="J20" s="50" t="s">
        <v>4</v>
      </c>
    </row>
    <row r="21" spans="1:10" x14ac:dyDescent="0.25">
      <c r="A21" s="48">
        <v>94</v>
      </c>
      <c r="B21" s="48" t="s">
        <v>69</v>
      </c>
      <c r="C21" s="48" t="s">
        <v>6</v>
      </c>
      <c r="D21" s="48" t="s">
        <v>71</v>
      </c>
      <c r="E21" s="51">
        <v>2744</v>
      </c>
      <c r="F21" s="51">
        <v>5</v>
      </c>
      <c r="G21" s="51">
        <v>200</v>
      </c>
      <c r="H21" s="52">
        <v>20000</v>
      </c>
      <c r="I21" s="48" t="s">
        <v>3</v>
      </c>
      <c r="J21" s="48" t="s">
        <v>4</v>
      </c>
    </row>
    <row r="22" spans="1:10" x14ac:dyDescent="0.25">
      <c r="A22" s="48">
        <v>103</v>
      </c>
      <c r="B22" s="50" t="s">
        <v>76</v>
      </c>
      <c r="C22" s="50" t="s">
        <v>79</v>
      </c>
      <c r="D22" s="50" t="s">
        <v>71</v>
      </c>
      <c r="E22" s="51">
        <v>0</v>
      </c>
      <c r="F22" s="51">
        <v>5</v>
      </c>
      <c r="G22" s="51">
        <v>-400</v>
      </c>
      <c r="H22" s="52">
        <v>0</v>
      </c>
      <c r="I22" s="50" t="s">
        <v>3</v>
      </c>
      <c r="J22" s="50" t="s">
        <v>4</v>
      </c>
    </row>
    <row r="23" spans="1:10" x14ac:dyDescent="0.25">
      <c r="A23" s="48">
        <v>16</v>
      </c>
      <c r="B23" s="48" t="s">
        <v>26</v>
      </c>
      <c r="C23" s="48" t="s">
        <v>6</v>
      </c>
      <c r="D23" s="48" t="s">
        <v>25</v>
      </c>
      <c r="E23" s="51">
        <v>5468</v>
      </c>
      <c r="F23" s="51">
        <v>15</v>
      </c>
      <c r="G23" s="51">
        <v>100</v>
      </c>
      <c r="H23" s="52">
        <v>10000</v>
      </c>
      <c r="I23" s="48" t="s">
        <v>3</v>
      </c>
      <c r="J23" s="48" t="s">
        <v>4</v>
      </c>
    </row>
    <row r="24" spans="1:10" x14ac:dyDescent="0.25">
      <c r="A24" s="48">
        <v>60</v>
      </c>
      <c r="B24" s="48" t="s">
        <v>52</v>
      </c>
      <c r="C24" s="48" t="s">
        <v>38</v>
      </c>
      <c r="D24" s="48" t="s">
        <v>25</v>
      </c>
      <c r="E24" s="51">
        <v>2</v>
      </c>
      <c r="F24" s="51">
        <v>15</v>
      </c>
      <c r="G24" s="51">
        <v>-100</v>
      </c>
      <c r="H24" s="52" t="s">
        <v>4</v>
      </c>
      <c r="I24" s="48" t="s">
        <v>3</v>
      </c>
      <c r="J24" s="48" t="s">
        <v>4</v>
      </c>
    </row>
    <row r="25" spans="1:10" x14ac:dyDescent="0.25">
      <c r="A25" s="48">
        <v>18</v>
      </c>
      <c r="B25" s="48" t="s">
        <v>29</v>
      </c>
      <c r="C25" s="48" t="s">
        <v>6</v>
      </c>
      <c r="D25" s="48" t="s">
        <v>28</v>
      </c>
      <c r="E25" s="51">
        <v>5716</v>
      </c>
      <c r="F25" s="51">
        <v>13</v>
      </c>
      <c r="G25" s="51">
        <v>75</v>
      </c>
      <c r="H25" s="52">
        <v>7500</v>
      </c>
      <c r="I25" s="48" t="s">
        <v>3</v>
      </c>
      <c r="J25" s="48" t="s">
        <v>4</v>
      </c>
    </row>
    <row r="26" spans="1:10" x14ac:dyDescent="0.25">
      <c r="A26" s="48">
        <v>65</v>
      </c>
      <c r="B26" s="50" t="s">
        <v>54</v>
      </c>
      <c r="C26" s="50" t="s">
        <v>38</v>
      </c>
      <c r="D26" s="50" t="s">
        <v>28</v>
      </c>
      <c r="E26" s="51">
        <v>2</v>
      </c>
      <c r="F26" s="51">
        <v>13</v>
      </c>
      <c r="G26" s="51">
        <v>-75</v>
      </c>
      <c r="H26" s="52" t="s">
        <v>4</v>
      </c>
      <c r="I26" s="50" t="s">
        <v>3</v>
      </c>
      <c r="J26" s="50" t="s">
        <v>4</v>
      </c>
    </row>
    <row r="27" spans="1:10" x14ac:dyDescent="0.25">
      <c r="A27" s="48">
        <v>99</v>
      </c>
      <c r="B27" s="50" t="s">
        <v>69</v>
      </c>
      <c r="C27" s="50" t="s">
        <v>6</v>
      </c>
      <c r="D27" s="50" t="s">
        <v>74</v>
      </c>
      <c r="E27" s="51">
        <v>2033</v>
      </c>
      <c r="F27" s="51">
        <v>5</v>
      </c>
      <c r="G27" s="51">
        <v>500</v>
      </c>
      <c r="H27" s="52">
        <v>50000</v>
      </c>
      <c r="I27" s="50" t="s">
        <v>3</v>
      </c>
      <c r="J27" s="50" t="s">
        <v>4</v>
      </c>
    </row>
    <row r="28" spans="1:10" x14ac:dyDescent="0.25">
      <c r="A28" s="48">
        <v>89</v>
      </c>
      <c r="B28" s="50" t="s">
        <v>69</v>
      </c>
      <c r="C28" s="50" t="s">
        <v>6</v>
      </c>
      <c r="D28" s="50" t="s">
        <v>70</v>
      </c>
      <c r="E28" s="51">
        <v>2194</v>
      </c>
      <c r="F28" s="51">
        <v>5</v>
      </c>
      <c r="G28" s="51">
        <v>500</v>
      </c>
      <c r="H28" s="52">
        <v>50000</v>
      </c>
      <c r="I28" s="50" t="s">
        <v>3</v>
      </c>
      <c r="J28" s="50" t="s">
        <v>4</v>
      </c>
    </row>
    <row r="29" spans="1:10" x14ac:dyDescent="0.25">
      <c r="A29" s="48">
        <v>105</v>
      </c>
      <c r="B29" s="50" t="s">
        <v>80</v>
      </c>
      <c r="C29" s="50" t="s">
        <v>79</v>
      </c>
      <c r="D29" s="50" t="s">
        <v>70</v>
      </c>
      <c r="E29" s="51">
        <v>0</v>
      </c>
      <c r="F29" s="51">
        <v>5</v>
      </c>
      <c r="G29" s="51">
        <v>-500</v>
      </c>
      <c r="H29" s="52">
        <v>0</v>
      </c>
      <c r="I29" s="50" t="s">
        <v>3</v>
      </c>
      <c r="J29" s="50" t="s">
        <v>4</v>
      </c>
    </row>
    <row r="30" spans="1:10" x14ac:dyDescent="0.25">
      <c r="A30" s="48">
        <v>67</v>
      </c>
      <c r="B30" s="50" t="s">
        <v>55</v>
      </c>
      <c r="C30" s="50" t="s">
        <v>6</v>
      </c>
      <c r="D30" s="50" t="s">
        <v>56</v>
      </c>
      <c r="E30" s="51">
        <v>3658</v>
      </c>
      <c r="F30" s="51">
        <v>24</v>
      </c>
      <c r="G30" s="51">
        <v>100</v>
      </c>
      <c r="H30" s="52">
        <v>10000</v>
      </c>
      <c r="I30" s="50" t="s">
        <v>3</v>
      </c>
      <c r="J30" s="50" t="s">
        <v>4</v>
      </c>
    </row>
    <row r="31" spans="1:10" x14ac:dyDescent="0.25">
      <c r="A31" s="48">
        <v>85</v>
      </c>
      <c r="B31" s="50" t="s">
        <v>67</v>
      </c>
      <c r="C31" s="50" t="s">
        <v>38</v>
      </c>
      <c r="D31" s="50" t="s">
        <v>56</v>
      </c>
      <c r="E31" s="51">
        <v>1</v>
      </c>
      <c r="F31" s="51">
        <v>24</v>
      </c>
      <c r="G31" s="51">
        <v>-100</v>
      </c>
      <c r="H31" s="52" t="s">
        <v>4</v>
      </c>
      <c r="I31" s="50" t="s">
        <v>3</v>
      </c>
      <c r="J31" s="50" t="s">
        <v>4</v>
      </c>
    </row>
    <row r="32" spans="1:10" x14ac:dyDescent="0.25">
      <c r="A32" s="48">
        <v>69</v>
      </c>
      <c r="B32" s="50" t="s">
        <v>57</v>
      </c>
      <c r="C32" s="50" t="s">
        <v>6</v>
      </c>
      <c r="D32" s="50" t="s">
        <v>58</v>
      </c>
      <c r="E32" s="51">
        <v>2882</v>
      </c>
      <c r="F32" s="51">
        <v>8</v>
      </c>
      <c r="G32" s="51">
        <v>200</v>
      </c>
      <c r="H32" s="52">
        <v>20000</v>
      </c>
      <c r="I32" s="50" t="s">
        <v>3</v>
      </c>
      <c r="J32" s="50" t="s">
        <v>4</v>
      </c>
    </row>
    <row r="33" spans="1:10" x14ac:dyDescent="0.25">
      <c r="A33" s="48">
        <v>101</v>
      </c>
      <c r="B33" s="50" t="s">
        <v>75</v>
      </c>
      <c r="C33" s="50" t="s">
        <v>38</v>
      </c>
      <c r="D33" s="50" t="s">
        <v>58</v>
      </c>
      <c r="E33" s="51">
        <v>1</v>
      </c>
      <c r="F33" s="51">
        <v>8</v>
      </c>
      <c r="G33" s="51">
        <v>-200</v>
      </c>
      <c r="H33" s="52" t="s">
        <v>4</v>
      </c>
      <c r="I33" s="50" t="s">
        <v>3</v>
      </c>
      <c r="J33" s="50" t="s">
        <v>4</v>
      </c>
    </row>
    <row r="34" spans="1:10" x14ac:dyDescent="0.25">
      <c r="A34" s="48">
        <v>75</v>
      </c>
      <c r="B34" s="50" t="s">
        <v>61</v>
      </c>
      <c r="C34" s="50" t="s">
        <v>6</v>
      </c>
      <c r="D34" s="50" t="s">
        <v>62</v>
      </c>
      <c r="E34" s="51">
        <v>5120</v>
      </c>
      <c r="F34" s="51">
        <v>21</v>
      </c>
      <c r="G34" s="51">
        <v>500</v>
      </c>
      <c r="H34" s="52">
        <v>50000</v>
      </c>
      <c r="I34" s="50" t="s">
        <v>3</v>
      </c>
      <c r="J34" s="50" t="s">
        <v>4</v>
      </c>
    </row>
    <row r="35" spans="1:10" x14ac:dyDescent="0.25">
      <c r="A35" s="48">
        <v>104</v>
      </c>
      <c r="B35" s="48" t="s">
        <v>80</v>
      </c>
      <c r="C35" s="48" t="s">
        <v>79</v>
      </c>
      <c r="D35" s="48" t="s">
        <v>62</v>
      </c>
      <c r="E35" s="51">
        <v>0</v>
      </c>
      <c r="F35" s="51">
        <v>21</v>
      </c>
      <c r="G35" s="51">
        <v>-500</v>
      </c>
      <c r="H35" s="52">
        <v>0</v>
      </c>
      <c r="I35" s="48" t="s">
        <v>3</v>
      </c>
      <c r="J35" s="48" t="s">
        <v>4</v>
      </c>
    </row>
    <row r="36" spans="1:10" x14ac:dyDescent="0.25">
      <c r="A36" s="48">
        <v>83</v>
      </c>
      <c r="B36" s="50" t="s">
        <v>65</v>
      </c>
      <c r="C36" s="50" t="s">
        <v>6</v>
      </c>
      <c r="D36" s="50" t="s">
        <v>66</v>
      </c>
      <c r="E36" s="51">
        <v>5035</v>
      </c>
      <c r="F36" s="51">
        <v>23</v>
      </c>
      <c r="G36" s="51">
        <v>500</v>
      </c>
      <c r="H36" s="52">
        <v>50000</v>
      </c>
      <c r="I36" s="50" t="s">
        <v>3</v>
      </c>
      <c r="J36" s="50" t="s">
        <v>4</v>
      </c>
    </row>
    <row r="37" spans="1:10" x14ac:dyDescent="0.25">
      <c r="A37" s="48">
        <v>118</v>
      </c>
      <c r="B37" s="48" t="s">
        <v>87</v>
      </c>
      <c r="C37" s="48" t="s">
        <v>38</v>
      </c>
      <c r="D37" s="48" t="s">
        <v>66</v>
      </c>
      <c r="E37" s="51">
        <v>1</v>
      </c>
      <c r="F37" s="51">
        <v>23</v>
      </c>
      <c r="G37" s="51">
        <v>-500</v>
      </c>
      <c r="H37" s="52" t="s">
        <v>4</v>
      </c>
      <c r="I37" s="48" t="s">
        <v>3</v>
      </c>
      <c r="J37" s="48" t="s">
        <v>4</v>
      </c>
    </row>
    <row r="38" spans="1:10" x14ac:dyDescent="0.25">
      <c r="A38" s="48">
        <v>71</v>
      </c>
      <c r="B38" s="50" t="s">
        <v>57</v>
      </c>
      <c r="C38" s="50" t="s">
        <v>6</v>
      </c>
      <c r="D38" s="50" t="s">
        <v>59</v>
      </c>
      <c r="E38" s="51">
        <v>356</v>
      </c>
      <c r="F38" s="51">
        <v>8</v>
      </c>
      <c r="G38" s="51">
        <v>200</v>
      </c>
      <c r="H38" s="52">
        <v>20000</v>
      </c>
      <c r="I38" s="50" t="s">
        <v>3</v>
      </c>
      <c r="J38" s="50" t="s">
        <v>4</v>
      </c>
    </row>
    <row r="39" spans="1:10" x14ac:dyDescent="0.25">
      <c r="A39" s="48">
        <v>123</v>
      </c>
      <c r="B39" s="50" t="s">
        <v>91</v>
      </c>
      <c r="C39" s="50" t="s">
        <v>79</v>
      </c>
      <c r="D39" s="50" t="s">
        <v>59</v>
      </c>
      <c r="E39" s="51">
        <v>0</v>
      </c>
      <c r="F39" s="51">
        <v>8</v>
      </c>
      <c r="G39" s="51">
        <v>-200</v>
      </c>
      <c r="H39" s="52">
        <v>0</v>
      </c>
      <c r="I39" s="50" t="s">
        <v>3</v>
      </c>
      <c r="J39" s="50" t="s">
        <v>4</v>
      </c>
    </row>
    <row r="40" spans="1:10" x14ac:dyDescent="0.25">
      <c r="A40" s="48">
        <v>79</v>
      </c>
      <c r="B40" s="50" t="s">
        <v>61</v>
      </c>
      <c r="C40" s="50" t="s">
        <v>6</v>
      </c>
      <c r="D40" s="50" t="s">
        <v>63</v>
      </c>
      <c r="E40" s="51">
        <v>702</v>
      </c>
      <c r="F40" s="51">
        <v>21</v>
      </c>
      <c r="G40" s="51">
        <v>350</v>
      </c>
      <c r="H40" s="52">
        <v>35000</v>
      </c>
      <c r="I40" s="50" t="s">
        <v>3</v>
      </c>
      <c r="J40" s="50" t="s">
        <v>4</v>
      </c>
    </row>
    <row r="41" spans="1:10" x14ac:dyDescent="0.25">
      <c r="A41" s="48">
        <v>77</v>
      </c>
      <c r="B41" s="50" t="s">
        <v>61</v>
      </c>
      <c r="C41" s="50" t="s">
        <v>6</v>
      </c>
      <c r="D41" s="50" t="s">
        <v>63</v>
      </c>
      <c r="E41" s="51">
        <v>701</v>
      </c>
      <c r="F41" s="51">
        <v>21</v>
      </c>
      <c r="G41" s="51">
        <v>500</v>
      </c>
      <c r="H41" s="52">
        <v>50000</v>
      </c>
      <c r="I41" s="50" t="s">
        <v>3</v>
      </c>
      <c r="J41" s="50" t="s">
        <v>4</v>
      </c>
    </row>
    <row r="42" spans="1:10" x14ac:dyDescent="0.25">
      <c r="A42" s="48">
        <v>130</v>
      </c>
      <c r="B42" s="48" t="s">
        <v>93</v>
      </c>
      <c r="C42" s="48" t="s">
        <v>79</v>
      </c>
      <c r="D42" s="48" t="s">
        <v>63</v>
      </c>
      <c r="E42" s="51">
        <v>0</v>
      </c>
      <c r="F42" s="51">
        <v>21</v>
      </c>
      <c r="G42" s="51">
        <v>-200</v>
      </c>
      <c r="H42" s="52">
        <v>0</v>
      </c>
      <c r="I42" s="48" t="s">
        <v>3</v>
      </c>
      <c r="J42" s="48" t="s">
        <v>4</v>
      </c>
    </row>
    <row r="43" spans="1:10" x14ac:dyDescent="0.25">
      <c r="A43" s="48">
        <v>135</v>
      </c>
      <c r="B43" s="50" t="s">
        <v>95</v>
      </c>
      <c r="C43" s="50" t="s">
        <v>79</v>
      </c>
      <c r="D43" s="50" t="s">
        <v>63</v>
      </c>
      <c r="E43" s="51">
        <v>0</v>
      </c>
      <c r="F43" s="51">
        <v>21</v>
      </c>
      <c r="G43" s="51">
        <v>-150</v>
      </c>
      <c r="H43" s="52">
        <v>0</v>
      </c>
      <c r="I43" s="50" t="s">
        <v>3</v>
      </c>
      <c r="J43" s="50" t="s">
        <v>4</v>
      </c>
    </row>
    <row r="44" spans="1:10" x14ac:dyDescent="0.25">
      <c r="A44" s="48">
        <v>171</v>
      </c>
      <c r="B44" s="50" t="s">
        <v>116</v>
      </c>
      <c r="C44" s="50" t="s">
        <v>38</v>
      </c>
      <c r="D44" s="50" t="s">
        <v>63</v>
      </c>
      <c r="E44" s="51">
        <v>6</v>
      </c>
      <c r="F44" s="51">
        <v>21</v>
      </c>
      <c r="G44" s="51">
        <v>-500</v>
      </c>
      <c r="H44" s="52" t="s">
        <v>4</v>
      </c>
      <c r="I44" s="50" t="s">
        <v>3</v>
      </c>
      <c r="J44" s="50" t="s">
        <v>4</v>
      </c>
    </row>
    <row r="45" spans="1:10" x14ac:dyDescent="0.25">
      <c r="A45" s="48">
        <v>20</v>
      </c>
      <c r="B45" s="48" t="s">
        <v>30</v>
      </c>
      <c r="C45" s="48" t="s">
        <v>6</v>
      </c>
      <c r="D45" s="48" t="s">
        <v>31</v>
      </c>
      <c r="E45" s="51">
        <v>10146</v>
      </c>
      <c r="F45" s="51">
        <v>0</v>
      </c>
      <c r="G45" s="51">
        <v>20</v>
      </c>
      <c r="H45" s="52">
        <v>2028.4</v>
      </c>
      <c r="I45" s="48" t="s">
        <v>3</v>
      </c>
      <c r="J45" s="48" t="s">
        <v>4</v>
      </c>
    </row>
  </sheetData>
  <printOptions gridLines="1"/>
  <pageMargins left="0.75" right="0.75" top="1" bottom="1" header="0.5" footer="0.5"/>
  <pageSetup paperSize="9" orientation="landscape" horizontalDpi="300" verticalDpi="300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18E4-31A7-4D0F-BFFE-49DEA437C0AB}">
  <dimension ref="A3:E22"/>
  <sheetViews>
    <sheetView workbookViewId="0">
      <selection activeCell="B17" sqref="B17"/>
    </sheetView>
  </sheetViews>
  <sheetFormatPr defaultRowHeight="12.5" x14ac:dyDescent="0.25"/>
  <cols>
    <col min="1" max="1" width="23.7265625" bestFit="1" customWidth="1"/>
    <col min="2" max="2" width="8.90625" bestFit="1" customWidth="1"/>
  </cols>
  <sheetData>
    <row r="3" spans="1:5" x14ac:dyDescent="0.25">
      <c r="A3" s="11" t="s">
        <v>134</v>
      </c>
      <c r="B3" s="14"/>
    </row>
    <row r="4" spans="1:5" x14ac:dyDescent="0.25">
      <c r="A4" s="11" t="s">
        <v>125</v>
      </c>
      <c r="B4" s="14" t="s">
        <v>133</v>
      </c>
    </row>
    <row r="5" spans="1:5" x14ac:dyDescent="0.25">
      <c r="A5" s="8" t="s">
        <v>60</v>
      </c>
      <c r="B5" s="20">
        <v>4479.3</v>
      </c>
      <c r="E5">
        <f>B5/20000/4</f>
        <v>5.5991249999999999E-2</v>
      </c>
    </row>
    <row r="6" spans="1:5" x14ac:dyDescent="0.25">
      <c r="A6" s="12" t="s">
        <v>73</v>
      </c>
      <c r="B6" s="21">
        <v>4965.3</v>
      </c>
    </row>
    <row r="7" spans="1:5" x14ac:dyDescent="0.25">
      <c r="A7" s="12" t="s">
        <v>2</v>
      </c>
      <c r="B7" s="21">
        <v>19.72</v>
      </c>
    </row>
    <row r="8" spans="1:5" x14ac:dyDescent="0.25">
      <c r="A8" s="12" t="s">
        <v>8</v>
      </c>
      <c r="B8" s="21">
        <v>200.2</v>
      </c>
    </row>
    <row r="9" spans="1:5" x14ac:dyDescent="0.25">
      <c r="A9" s="12" t="s">
        <v>11</v>
      </c>
      <c r="B9" s="21">
        <v>336.5</v>
      </c>
    </row>
    <row r="10" spans="1:5" x14ac:dyDescent="0.25">
      <c r="A10" s="12" t="s">
        <v>14</v>
      </c>
      <c r="B10" s="21">
        <v>224</v>
      </c>
    </row>
    <row r="11" spans="1:5" x14ac:dyDescent="0.25">
      <c r="A11" s="12" t="s">
        <v>17</v>
      </c>
      <c r="B11" s="21">
        <v>176.35</v>
      </c>
    </row>
    <row r="12" spans="1:5" x14ac:dyDescent="0.25">
      <c r="A12" s="12" t="s">
        <v>20</v>
      </c>
      <c r="B12" s="21">
        <v>234.8</v>
      </c>
    </row>
    <row r="13" spans="1:5" x14ac:dyDescent="0.25">
      <c r="A13" s="12" t="s">
        <v>23</v>
      </c>
      <c r="B13" s="21">
        <v>234.8</v>
      </c>
    </row>
    <row r="14" spans="1:5" x14ac:dyDescent="0.25">
      <c r="A14" s="12" t="s">
        <v>71</v>
      </c>
      <c r="B14" s="21">
        <v>0</v>
      </c>
    </row>
    <row r="15" spans="1:5" x14ac:dyDescent="0.25">
      <c r="A15" s="12" t="s">
        <v>25</v>
      </c>
      <c r="B15" s="21">
        <v>1131</v>
      </c>
    </row>
    <row r="16" spans="1:5" x14ac:dyDescent="0.25">
      <c r="A16" s="12" t="s">
        <v>28</v>
      </c>
      <c r="B16" s="21">
        <v>815.5</v>
      </c>
    </row>
    <row r="17" spans="1:2" x14ac:dyDescent="0.25">
      <c r="A17" s="12" t="s">
        <v>56</v>
      </c>
      <c r="B17" s="21">
        <v>30.78</v>
      </c>
    </row>
    <row r="18" spans="1:2" x14ac:dyDescent="0.25">
      <c r="A18" s="12" t="s">
        <v>58</v>
      </c>
      <c r="B18" s="21">
        <v>61.56</v>
      </c>
    </row>
    <row r="19" spans="1:2" x14ac:dyDescent="0.25">
      <c r="A19" s="12" t="s">
        <v>66</v>
      </c>
      <c r="B19" s="21">
        <v>149.85</v>
      </c>
    </row>
    <row r="20" spans="1:2" x14ac:dyDescent="0.25">
      <c r="A20" s="12" t="s">
        <v>59</v>
      </c>
      <c r="B20" s="21">
        <v>82.2</v>
      </c>
    </row>
    <row r="21" spans="1:2" x14ac:dyDescent="0.25">
      <c r="A21" s="12" t="s">
        <v>63</v>
      </c>
      <c r="B21" s="21">
        <v>1731.3500000000001</v>
      </c>
    </row>
    <row r="22" spans="1:2" x14ac:dyDescent="0.25">
      <c r="A22" s="13" t="s">
        <v>132</v>
      </c>
      <c r="B22" s="19">
        <v>14873.210000000001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EEB7-7B2A-46D5-9AB4-0B5F80EB5B14}">
  <dimension ref="A1:J63"/>
  <sheetViews>
    <sheetView topLeftCell="A3" workbookViewId="0">
      <selection activeCell="A49" sqref="A49:J54"/>
    </sheetView>
  </sheetViews>
  <sheetFormatPr defaultRowHeight="12.5" x14ac:dyDescent="0.25"/>
  <cols>
    <col min="2" max="2" width="19.08984375" customWidth="1"/>
    <col min="3" max="3" width="32.453125" customWidth="1"/>
    <col min="4" max="4" width="16.81640625" customWidth="1"/>
    <col min="5" max="5" width="12.26953125" customWidth="1"/>
    <col min="6" max="6" width="8.1796875" customWidth="1"/>
    <col min="7" max="7" width="19.26953125" customWidth="1"/>
    <col min="8" max="8" width="19" customWidth="1"/>
    <col min="9" max="9" width="11.54296875" customWidth="1"/>
    <col min="10" max="10" width="63.26953125" customWidth="1"/>
  </cols>
  <sheetData>
    <row r="1" spans="1:10" ht="13" x14ac:dyDescent="0.3">
      <c r="A1" t="s">
        <v>135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 spans="1:10" x14ac:dyDescent="0.25">
      <c r="A2" s="24">
        <v>140</v>
      </c>
      <c r="B2" s="24" t="s">
        <v>97</v>
      </c>
      <c r="C2" s="24" t="s">
        <v>136</v>
      </c>
      <c r="D2" s="24" t="s">
        <v>60</v>
      </c>
      <c r="E2" s="25">
        <v>0</v>
      </c>
      <c r="F2" s="25">
        <v>8</v>
      </c>
      <c r="G2" s="25">
        <v>0</v>
      </c>
      <c r="H2" s="26">
        <v>480</v>
      </c>
      <c r="I2" s="24" t="s">
        <v>3</v>
      </c>
      <c r="J2" s="24" t="s">
        <v>4</v>
      </c>
    </row>
    <row r="3" spans="1:10" x14ac:dyDescent="0.25">
      <c r="A3" s="24">
        <v>152</v>
      </c>
      <c r="B3" s="24" t="s">
        <v>105</v>
      </c>
      <c r="C3" s="24" t="s">
        <v>136</v>
      </c>
      <c r="D3" s="24" t="s">
        <v>60</v>
      </c>
      <c r="E3" s="25">
        <v>0</v>
      </c>
      <c r="F3" s="25">
        <v>8</v>
      </c>
      <c r="G3" s="25">
        <v>0</v>
      </c>
      <c r="H3" s="26">
        <v>830</v>
      </c>
      <c r="I3" s="24" t="s">
        <v>3</v>
      </c>
      <c r="J3" s="24" t="s">
        <v>4</v>
      </c>
    </row>
    <row r="4" spans="1:10" x14ac:dyDescent="0.25">
      <c r="A4" s="24">
        <v>164</v>
      </c>
      <c r="B4" s="24" t="s">
        <v>113</v>
      </c>
      <c r="C4" s="24" t="s">
        <v>136</v>
      </c>
      <c r="D4" s="24" t="s">
        <v>60</v>
      </c>
      <c r="E4" s="25">
        <v>0</v>
      </c>
      <c r="F4" s="25">
        <v>8</v>
      </c>
      <c r="G4" s="25">
        <v>0</v>
      </c>
      <c r="H4" s="26">
        <v>1190</v>
      </c>
      <c r="I4" s="24" t="s">
        <v>3</v>
      </c>
      <c r="J4" s="24" t="s">
        <v>4</v>
      </c>
    </row>
    <row r="5" spans="1:10" x14ac:dyDescent="0.25">
      <c r="A5">
        <v>146</v>
      </c>
      <c r="B5" t="s">
        <v>101</v>
      </c>
      <c r="C5" t="s">
        <v>136</v>
      </c>
      <c r="D5" t="s">
        <v>73</v>
      </c>
      <c r="E5" s="3">
        <v>0</v>
      </c>
      <c r="F5" s="3">
        <v>5</v>
      </c>
      <c r="G5" s="3">
        <v>0</v>
      </c>
      <c r="H5" s="4">
        <v>480</v>
      </c>
      <c r="I5" t="s">
        <v>3</v>
      </c>
      <c r="J5" t="s">
        <v>4</v>
      </c>
    </row>
    <row r="6" spans="1:10" x14ac:dyDescent="0.25">
      <c r="A6">
        <v>158</v>
      </c>
      <c r="B6" t="s">
        <v>109</v>
      </c>
      <c r="C6" t="s">
        <v>136</v>
      </c>
      <c r="D6" t="s">
        <v>73</v>
      </c>
      <c r="E6" s="3">
        <v>0</v>
      </c>
      <c r="F6" s="3">
        <v>5</v>
      </c>
      <c r="G6" s="3">
        <v>0</v>
      </c>
      <c r="H6" s="4">
        <v>830</v>
      </c>
      <c r="I6" t="s">
        <v>3</v>
      </c>
      <c r="J6" t="s">
        <v>4</v>
      </c>
    </row>
    <row r="7" spans="1:10" x14ac:dyDescent="0.25">
      <c r="A7">
        <v>172</v>
      </c>
      <c r="B7" t="s">
        <v>117</v>
      </c>
      <c r="C7" t="s">
        <v>136</v>
      </c>
      <c r="D7" t="s">
        <v>73</v>
      </c>
      <c r="E7" s="3">
        <v>0</v>
      </c>
      <c r="F7" s="3">
        <v>5</v>
      </c>
      <c r="G7" s="3">
        <v>0</v>
      </c>
      <c r="H7" s="4">
        <v>1350</v>
      </c>
      <c r="I7" t="s">
        <v>3</v>
      </c>
      <c r="J7" t="s">
        <v>4</v>
      </c>
    </row>
    <row r="8" spans="1:10" x14ac:dyDescent="0.25">
      <c r="A8">
        <v>119</v>
      </c>
      <c r="B8" s="1" t="s">
        <v>88</v>
      </c>
      <c r="C8" t="s">
        <v>136</v>
      </c>
      <c r="D8" s="1" t="s">
        <v>59</v>
      </c>
      <c r="E8" s="3">
        <v>0</v>
      </c>
      <c r="F8" s="3">
        <v>8</v>
      </c>
      <c r="G8" s="3">
        <v>0</v>
      </c>
      <c r="H8" s="4">
        <v>220</v>
      </c>
      <c r="I8" s="1" t="s">
        <v>3</v>
      </c>
      <c r="J8" s="1" t="s">
        <v>4</v>
      </c>
    </row>
    <row r="9" spans="1:10" x14ac:dyDescent="0.25">
      <c r="A9">
        <v>122</v>
      </c>
      <c r="B9" t="s">
        <v>90</v>
      </c>
      <c r="C9" t="s">
        <v>136</v>
      </c>
      <c r="D9" t="s">
        <v>63</v>
      </c>
      <c r="E9" s="3">
        <v>0</v>
      </c>
      <c r="F9" s="3">
        <v>21</v>
      </c>
      <c r="G9" s="3">
        <v>0</v>
      </c>
      <c r="H9" s="4">
        <v>935</v>
      </c>
      <c r="I9" t="s">
        <v>3</v>
      </c>
      <c r="J9" t="s">
        <v>4</v>
      </c>
    </row>
    <row r="10" spans="1:10" x14ac:dyDescent="0.25">
      <c r="A10">
        <v>143</v>
      </c>
      <c r="B10" s="1" t="s">
        <v>99</v>
      </c>
      <c r="C10" t="s">
        <v>136</v>
      </c>
      <c r="D10" s="1" t="s">
        <v>63</v>
      </c>
      <c r="E10" s="3">
        <v>0</v>
      </c>
      <c r="F10" s="3">
        <v>21</v>
      </c>
      <c r="G10" s="3">
        <v>0</v>
      </c>
      <c r="H10" s="4">
        <v>450</v>
      </c>
      <c r="I10" s="1" t="s">
        <v>3</v>
      </c>
      <c r="J10" s="1" t="s">
        <v>4</v>
      </c>
    </row>
    <row r="11" spans="1:10" x14ac:dyDescent="0.25">
      <c r="A11">
        <v>149</v>
      </c>
      <c r="B11" s="1" t="s">
        <v>103</v>
      </c>
      <c r="C11" t="s">
        <v>136</v>
      </c>
      <c r="D11" s="1" t="s">
        <v>63</v>
      </c>
      <c r="E11" s="3">
        <v>0</v>
      </c>
      <c r="F11" s="3">
        <v>21</v>
      </c>
      <c r="G11" s="3">
        <v>0</v>
      </c>
      <c r="H11" s="4">
        <v>70</v>
      </c>
      <c r="I11" s="1" t="s">
        <v>3</v>
      </c>
      <c r="J11" s="1" t="s">
        <v>4</v>
      </c>
    </row>
    <row r="12" spans="1:10" x14ac:dyDescent="0.25">
      <c r="A12">
        <v>155</v>
      </c>
      <c r="B12" s="1" t="s">
        <v>107</v>
      </c>
      <c r="C12" t="s">
        <v>136</v>
      </c>
      <c r="D12" s="1" t="s">
        <v>63</v>
      </c>
      <c r="E12" s="3">
        <v>0</v>
      </c>
      <c r="F12" s="3">
        <v>21</v>
      </c>
      <c r="G12" s="3">
        <v>0</v>
      </c>
      <c r="H12" s="4">
        <v>65</v>
      </c>
      <c r="I12" s="1" t="s">
        <v>3</v>
      </c>
      <c r="J12" s="1" t="s">
        <v>4</v>
      </c>
    </row>
    <row r="13" spans="1:10" x14ac:dyDescent="0.25">
      <c r="A13">
        <v>161</v>
      </c>
      <c r="B13" s="1" t="s">
        <v>111</v>
      </c>
      <c r="C13" t="s">
        <v>136</v>
      </c>
      <c r="D13" s="1" t="s">
        <v>63</v>
      </c>
      <c r="E13" s="3">
        <v>0</v>
      </c>
      <c r="F13" s="3">
        <v>21</v>
      </c>
      <c r="G13" s="3">
        <v>0</v>
      </c>
      <c r="H13" s="4">
        <v>65</v>
      </c>
      <c r="I13" s="1" t="s">
        <v>3</v>
      </c>
      <c r="J13" s="1" t="s">
        <v>4</v>
      </c>
    </row>
    <row r="14" spans="1:10" x14ac:dyDescent="0.25">
      <c r="A14">
        <v>107</v>
      </c>
      <c r="B14" s="1" t="s">
        <v>4</v>
      </c>
      <c r="C14" s="1" t="s">
        <v>83</v>
      </c>
      <c r="D14" s="1" t="s">
        <v>71</v>
      </c>
      <c r="E14" s="3">
        <v>0</v>
      </c>
      <c r="F14" s="3" t="s">
        <v>4</v>
      </c>
      <c r="G14" s="3">
        <v>0</v>
      </c>
      <c r="H14" s="4">
        <v>40</v>
      </c>
      <c r="I14" s="1" t="s">
        <v>3</v>
      </c>
      <c r="J14" s="1" t="s">
        <v>4</v>
      </c>
    </row>
    <row r="15" spans="1:10" x14ac:dyDescent="0.25">
      <c r="A15">
        <v>127</v>
      </c>
      <c r="B15" s="1" t="s">
        <v>4</v>
      </c>
      <c r="C15" s="1" t="s">
        <v>83</v>
      </c>
      <c r="D15" s="1" t="s">
        <v>59</v>
      </c>
      <c r="E15" s="3">
        <v>0</v>
      </c>
      <c r="F15" s="3" t="s">
        <v>4</v>
      </c>
      <c r="G15" s="3">
        <v>0</v>
      </c>
      <c r="H15" s="4">
        <v>44</v>
      </c>
      <c r="I15" s="1" t="s">
        <v>3</v>
      </c>
      <c r="J15" s="1" t="s">
        <v>4</v>
      </c>
    </row>
    <row r="16" spans="1:10" x14ac:dyDescent="0.25">
      <c r="A16">
        <v>132</v>
      </c>
      <c r="B16" t="s">
        <v>4</v>
      </c>
      <c r="C16" t="s">
        <v>83</v>
      </c>
      <c r="D16" t="s">
        <v>63</v>
      </c>
      <c r="E16" s="3">
        <v>0</v>
      </c>
      <c r="F16" s="3" t="s">
        <v>4</v>
      </c>
      <c r="G16" s="3">
        <v>0</v>
      </c>
      <c r="H16" s="4">
        <v>10</v>
      </c>
      <c r="I16" t="s">
        <v>3</v>
      </c>
      <c r="J16" t="s">
        <v>4</v>
      </c>
    </row>
    <row r="17" spans="1:10" x14ac:dyDescent="0.25">
      <c r="A17">
        <v>137</v>
      </c>
      <c r="B17" s="1" t="s">
        <v>4</v>
      </c>
      <c r="C17" s="1" t="s">
        <v>83</v>
      </c>
      <c r="D17" s="1" t="s">
        <v>63</v>
      </c>
      <c r="E17" s="3">
        <v>0</v>
      </c>
      <c r="F17" s="3" t="s">
        <v>4</v>
      </c>
      <c r="G17" s="3">
        <v>0</v>
      </c>
      <c r="H17" s="4">
        <v>34.5</v>
      </c>
      <c r="I17" s="1" t="s">
        <v>3</v>
      </c>
      <c r="J17" s="1" t="s">
        <v>4</v>
      </c>
    </row>
    <row r="18" spans="1:10" x14ac:dyDescent="0.25">
      <c r="A18">
        <v>108</v>
      </c>
      <c r="B18" t="s">
        <v>4</v>
      </c>
      <c r="C18" t="s">
        <v>84</v>
      </c>
      <c r="D18" t="s">
        <v>71</v>
      </c>
      <c r="E18" s="3">
        <v>0</v>
      </c>
      <c r="F18" s="3" t="s">
        <v>4</v>
      </c>
      <c r="G18" s="3">
        <v>0</v>
      </c>
      <c r="H18" s="4">
        <v>-40</v>
      </c>
      <c r="I18" t="s">
        <v>3</v>
      </c>
      <c r="J18" t="s">
        <v>4</v>
      </c>
    </row>
    <row r="19" spans="1:10" x14ac:dyDescent="0.25">
      <c r="A19">
        <v>128</v>
      </c>
      <c r="B19" t="s">
        <v>4</v>
      </c>
      <c r="C19" t="s">
        <v>84</v>
      </c>
      <c r="D19" t="s">
        <v>59</v>
      </c>
      <c r="E19" s="3">
        <v>0</v>
      </c>
      <c r="F19" s="3" t="s">
        <v>4</v>
      </c>
      <c r="G19" s="3">
        <v>0</v>
      </c>
      <c r="H19" s="4">
        <v>-140</v>
      </c>
      <c r="I19" t="s">
        <v>3</v>
      </c>
      <c r="J19" t="s">
        <v>4</v>
      </c>
    </row>
    <row r="20" spans="1:10" x14ac:dyDescent="0.25">
      <c r="A20">
        <v>133</v>
      </c>
      <c r="B20" s="1" t="s">
        <v>4</v>
      </c>
      <c r="C20" s="1" t="s">
        <v>84</v>
      </c>
      <c r="D20" s="1" t="s">
        <v>63</v>
      </c>
      <c r="E20" s="3">
        <v>0</v>
      </c>
      <c r="F20" s="3" t="s">
        <v>4</v>
      </c>
      <c r="G20" s="3">
        <v>0</v>
      </c>
      <c r="H20" s="4">
        <v>-140</v>
      </c>
      <c r="I20" s="1" t="s">
        <v>3</v>
      </c>
      <c r="J20" s="1" t="s">
        <v>4</v>
      </c>
    </row>
    <row r="21" spans="1:10" x14ac:dyDescent="0.25">
      <c r="A21">
        <v>138</v>
      </c>
      <c r="B21" t="s">
        <v>4</v>
      </c>
      <c r="C21" t="s">
        <v>84</v>
      </c>
      <c r="D21" t="s">
        <v>63</v>
      </c>
      <c r="E21" s="3">
        <v>0</v>
      </c>
      <c r="F21" s="3" t="s">
        <v>4</v>
      </c>
      <c r="G21" s="3">
        <v>0</v>
      </c>
      <c r="H21" s="4">
        <v>-105</v>
      </c>
      <c r="I21" t="s">
        <v>3</v>
      </c>
      <c r="J21" t="s">
        <v>4</v>
      </c>
    </row>
    <row r="22" spans="1:10" x14ac:dyDescent="0.25">
      <c r="A22" s="24">
        <v>141</v>
      </c>
      <c r="B22" s="27" t="s">
        <v>98</v>
      </c>
      <c r="C22" s="27" t="s">
        <v>36</v>
      </c>
      <c r="D22" s="27" t="s">
        <v>60</v>
      </c>
      <c r="E22" s="25">
        <v>0</v>
      </c>
      <c r="F22" s="25" t="s">
        <v>4</v>
      </c>
      <c r="G22" s="25">
        <v>0</v>
      </c>
      <c r="H22" s="26">
        <v>-91.2</v>
      </c>
      <c r="I22" s="27" t="s">
        <v>3</v>
      </c>
      <c r="J22" s="27" t="s">
        <v>4</v>
      </c>
    </row>
    <row r="23" spans="1:10" x14ac:dyDescent="0.25">
      <c r="A23" s="24">
        <v>153</v>
      </c>
      <c r="B23" s="27" t="s">
        <v>106</v>
      </c>
      <c r="C23" s="27" t="s">
        <v>36</v>
      </c>
      <c r="D23" s="27" t="s">
        <v>60</v>
      </c>
      <c r="E23" s="25">
        <v>0</v>
      </c>
      <c r="F23" s="25" t="s">
        <v>4</v>
      </c>
      <c r="G23" s="25">
        <v>0</v>
      </c>
      <c r="H23" s="26">
        <v>-157.69999999999999</v>
      </c>
      <c r="I23" s="27" t="s">
        <v>3</v>
      </c>
      <c r="J23" s="27" t="s">
        <v>4</v>
      </c>
    </row>
    <row r="24" spans="1:10" x14ac:dyDescent="0.25">
      <c r="A24" s="24">
        <v>165</v>
      </c>
      <c r="B24" s="27" t="s">
        <v>114</v>
      </c>
      <c r="C24" s="27" t="s">
        <v>36</v>
      </c>
      <c r="D24" s="27" t="s">
        <v>60</v>
      </c>
      <c r="E24" s="25">
        <v>0</v>
      </c>
      <c r="F24" s="25" t="s">
        <v>4</v>
      </c>
      <c r="G24" s="25">
        <v>0</v>
      </c>
      <c r="H24" s="26">
        <v>-226.1</v>
      </c>
      <c r="I24" s="27" t="s">
        <v>3</v>
      </c>
      <c r="J24" s="27" t="s">
        <v>4</v>
      </c>
    </row>
    <row r="25" spans="1:10" x14ac:dyDescent="0.25">
      <c r="A25" s="24">
        <v>177</v>
      </c>
      <c r="B25" s="27" t="s">
        <v>120</v>
      </c>
      <c r="C25" s="27" t="s">
        <v>36</v>
      </c>
      <c r="D25" s="27" t="s">
        <v>60</v>
      </c>
      <c r="E25" s="25">
        <v>0</v>
      </c>
      <c r="F25" s="25" t="s">
        <v>4</v>
      </c>
      <c r="G25" s="25">
        <v>0</v>
      </c>
      <c r="H25" s="26">
        <v>-575.70000000000005</v>
      </c>
      <c r="I25" s="27" t="s">
        <v>3</v>
      </c>
      <c r="J25" s="27" t="s">
        <v>4</v>
      </c>
    </row>
    <row r="26" spans="1:10" x14ac:dyDescent="0.25">
      <c r="A26">
        <v>147</v>
      </c>
      <c r="B26" s="1" t="s">
        <v>102</v>
      </c>
      <c r="C26" s="1" t="s">
        <v>36</v>
      </c>
      <c r="D26" s="1" t="s">
        <v>73</v>
      </c>
      <c r="E26" s="3">
        <v>0</v>
      </c>
      <c r="F26" s="3" t="s">
        <v>4</v>
      </c>
      <c r="G26" s="3">
        <v>0</v>
      </c>
      <c r="H26" s="4">
        <v>-91.2</v>
      </c>
      <c r="I26" s="1" t="s">
        <v>3</v>
      </c>
      <c r="J26" s="1" t="s">
        <v>4</v>
      </c>
    </row>
    <row r="27" spans="1:10" x14ac:dyDescent="0.25">
      <c r="A27">
        <v>159</v>
      </c>
      <c r="B27" s="1" t="s">
        <v>110</v>
      </c>
      <c r="C27" s="1" t="s">
        <v>36</v>
      </c>
      <c r="D27" s="1" t="s">
        <v>73</v>
      </c>
      <c r="E27" s="3">
        <v>0</v>
      </c>
      <c r="F27" s="3" t="s">
        <v>4</v>
      </c>
      <c r="G27" s="3">
        <v>0</v>
      </c>
      <c r="H27" s="4">
        <v>-157.69999999999999</v>
      </c>
      <c r="I27" s="1" t="s">
        <v>3</v>
      </c>
      <c r="J27" s="1" t="s">
        <v>4</v>
      </c>
    </row>
    <row r="28" spans="1:10" x14ac:dyDescent="0.25">
      <c r="A28">
        <v>173</v>
      </c>
      <c r="B28" s="1" t="s">
        <v>118</v>
      </c>
      <c r="C28" s="1" t="s">
        <v>36</v>
      </c>
      <c r="D28" s="1" t="s">
        <v>73</v>
      </c>
      <c r="E28" s="3">
        <v>0</v>
      </c>
      <c r="F28" s="3" t="s">
        <v>4</v>
      </c>
      <c r="G28" s="3">
        <v>0</v>
      </c>
      <c r="H28" s="4">
        <v>-256.5</v>
      </c>
      <c r="I28" s="1" t="s">
        <v>3</v>
      </c>
      <c r="J28" s="1" t="s">
        <v>4</v>
      </c>
    </row>
    <row r="29" spans="1:10" x14ac:dyDescent="0.25">
      <c r="A29">
        <v>182</v>
      </c>
      <c r="B29" t="s">
        <v>122</v>
      </c>
      <c r="C29" t="s">
        <v>36</v>
      </c>
      <c r="D29" t="s">
        <v>73</v>
      </c>
      <c r="E29" s="3">
        <v>0</v>
      </c>
      <c r="F29" s="3" t="s">
        <v>4</v>
      </c>
      <c r="G29" s="3">
        <v>0</v>
      </c>
      <c r="H29" s="4">
        <v>-659.3</v>
      </c>
      <c r="I29" t="s">
        <v>3</v>
      </c>
      <c r="J29" t="s">
        <v>4</v>
      </c>
    </row>
    <row r="30" spans="1:10" x14ac:dyDescent="0.25">
      <c r="A30">
        <v>23</v>
      </c>
      <c r="B30" s="1" t="s">
        <v>35</v>
      </c>
      <c r="C30" s="1" t="s">
        <v>36</v>
      </c>
      <c r="D30" s="1" t="s">
        <v>2</v>
      </c>
      <c r="E30" s="3">
        <v>0</v>
      </c>
      <c r="F30" s="3" t="s">
        <v>4</v>
      </c>
      <c r="G30" s="3">
        <v>0</v>
      </c>
      <c r="H30" s="4">
        <v>-5</v>
      </c>
      <c r="I30" s="1" t="s">
        <v>3</v>
      </c>
      <c r="J30" s="1" t="s">
        <v>4</v>
      </c>
    </row>
    <row r="31" spans="1:10" x14ac:dyDescent="0.25">
      <c r="A31">
        <v>28</v>
      </c>
      <c r="B31" t="s">
        <v>40</v>
      </c>
      <c r="C31" t="s">
        <v>36</v>
      </c>
      <c r="D31" t="s">
        <v>8</v>
      </c>
      <c r="E31" s="3">
        <v>0</v>
      </c>
      <c r="F31" s="3" t="s">
        <v>4</v>
      </c>
      <c r="G31" s="3">
        <v>0</v>
      </c>
      <c r="H31" s="4">
        <v>-47</v>
      </c>
      <c r="I31" t="s">
        <v>3</v>
      </c>
      <c r="J31" t="s">
        <v>4</v>
      </c>
    </row>
    <row r="32" spans="1:10" x14ac:dyDescent="0.25">
      <c r="A32">
        <v>33</v>
      </c>
      <c r="B32" s="1" t="s">
        <v>42</v>
      </c>
      <c r="C32" s="1" t="s">
        <v>36</v>
      </c>
      <c r="D32" s="1" t="s">
        <v>11</v>
      </c>
      <c r="E32" s="3">
        <v>0</v>
      </c>
      <c r="F32" s="3" t="s">
        <v>4</v>
      </c>
      <c r="G32" s="3">
        <v>0</v>
      </c>
      <c r="H32" s="4">
        <v>-79</v>
      </c>
      <c r="I32" s="1" t="s">
        <v>3</v>
      </c>
      <c r="J32" s="1" t="s">
        <v>4</v>
      </c>
    </row>
    <row r="33" spans="1:10" x14ac:dyDescent="0.25">
      <c r="A33">
        <v>38</v>
      </c>
      <c r="B33" t="s">
        <v>44</v>
      </c>
      <c r="C33" t="s">
        <v>36</v>
      </c>
      <c r="D33" t="s">
        <v>14</v>
      </c>
      <c r="E33" s="3">
        <v>0</v>
      </c>
      <c r="F33" s="3" t="s">
        <v>4</v>
      </c>
      <c r="G33" s="3">
        <v>0</v>
      </c>
      <c r="H33" s="4">
        <v>-53</v>
      </c>
      <c r="I33" t="s">
        <v>3</v>
      </c>
      <c r="J33" t="s">
        <v>4</v>
      </c>
    </row>
    <row r="34" spans="1:10" x14ac:dyDescent="0.25">
      <c r="A34">
        <v>43</v>
      </c>
      <c r="B34" s="1" t="s">
        <v>46</v>
      </c>
      <c r="C34" s="1" t="s">
        <v>36</v>
      </c>
      <c r="D34" s="1" t="s">
        <v>17</v>
      </c>
      <c r="E34" s="3">
        <v>0</v>
      </c>
      <c r="F34" s="3" t="s">
        <v>4</v>
      </c>
      <c r="G34" s="3">
        <v>0</v>
      </c>
      <c r="H34" s="4">
        <v>-41</v>
      </c>
      <c r="I34" s="1" t="s">
        <v>3</v>
      </c>
      <c r="J34" s="1" t="s">
        <v>4</v>
      </c>
    </row>
    <row r="35" spans="1:10" x14ac:dyDescent="0.25">
      <c r="A35">
        <v>48</v>
      </c>
      <c r="B35" t="s">
        <v>48</v>
      </c>
      <c r="C35" t="s">
        <v>36</v>
      </c>
      <c r="D35" t="s">
        <v>20</v>
      </c>
      <c r="E35" s="3">
        <v>0</v>
      </c>
      <c r="F35" s="3" t="s">
        <v>4</v>
      </c>
      <c r="G35" s="3">
        <v>0</v>
      </c>
      <c r="H35" s="4">
        <v>-55</v>
      </c>
      <c r="I35" t="s">
        <v>3</v>
      </c>
      <c r="J35" t="s">
        <v>4</v>
      </c>
    </row>
    <row r="36" spans="1:10" x14ac:dyDescent="0.25">
      <c r="A36">
        <v>53</v>
      </c>
      <c r="B36" s="1" t="s">
        <v>50</v>
      </c>
      <c r="C36" s="1" t="s">
        <v>36</v>
      </c>
      <c r="D36" s="1" t="s">
        <v>23</v>
      </c>
      <c r="E36" s="3">
        <v>0</v>
      </c>
      <c r="F36" s="3" t="s">
        <v>4</v>
      </c>
      <c r="G36" s="3">
        <v>0</v>
      </c>
      <c r="H36" s="4">
        <v>-55</v>
      </c>
      <c r="I36" s="1" t="s">
        <v>3</v>
      </c>
      <c r="J36" s="1" t="s">
        <v>4</v>
      </c>
    </row>
    <row r="37" spans="1:10" x14ac:dyDescent="0.25">
      <c r="A37">
        <v>58</v>
      </c>
      <c r="B37" t="s">
        <v>52</v>
      </c>
      <c r="C37" t="s">
        <v>36</v>
      </c>
      <c r="D37" t="s">
        <v>25</v>
      </c>
      <c r="E37" s="3">
        <v>0</v>
      </c>
      <c r="F37" s="3" t="s">
        <v>4</v>
      </c>
      <c r="G37" s="3">
        <v>0</v>
      </c>
      <c r="H37" s="4">
        <v>-265</v>
      </c>
      <c r="I37" t="s">
        <v>3</v>
      </c>
      <c r="J37" t="s">
        <v>4</v>
      </c>
    </row>
    <row r="38" spans="1:10" x14ac:dyDescent="0.25">
      <c r="A38">
        <v>63</v>
      </c>
      <c r="B38" s="1" t="s">
        <v>54</v>
      </c>
      <c r="C38" s="1" t="s">
        <v>36</v>
      </c>
      <c r="D38" s="1" t="s">
        <v>28</v>
      </c>
      <c r="E38" s="3">
        <v>0</v>
      </c>
      <c r="F38" s="3" t="s">
        <v>4</v>
      </c>
      <c r="G38" s="3">
        <v>0</v>
      </c>
      <c r="H38" s="4">
        <v>-191</v>
      </c>
      <c r="I38" s="1" t="s">
        <v>3</v>
      </c>
      <c r="J38" s="1" t="s">
        <v>4</v>
      </c>
    </row>
    <row r="39" spans="1:10" x14ac:dyDescent="0.25">
      <c r="A39">
        <v>84</v>
      </c>
      <c r="B39" t="s">
        <v>67</v>
      </c>
      <c r="C39" t="s">
        <v>36</v>
      </c>
      <c r="D39" t="s">
        <v>56</v>
      </c>
      <c r="E39" s="3">
        <v>0</v>
      </c>
      <c r="F39" s="3" t="s">
        <v>4</v>
      </c>
      <c r="G39" s="3">
        <v>0</v>
      </c>
      <c r="H39" s="4">
        <v>-7.22</v>
      </c>
      <c r="I39" t="s">
        <v>3</v>
      </c>
      <c r="J39" t="s">
        <v>4</v>
      </c>
    </row>
    <row r="40" spans="1:10" x14ac:dyDescent="0.25">
      <c r="A40">
        <v>100</v>
      </c>
      <c r="B40" t="s">
        <v>75</v>
      </c>
      <c r="C40" t="s">
        <v>36</v>
      </c>
      <c r="D40" t="s">
        <v>58</v>
      </c>
      <c r="E40" s="3">
        <v>0</v>
      </c>
      <c r="F40" s="3" t="s">
        <v>4</v>
      </c>
      <c r="G40" s="3">
        <v>0</v>
      </c>
      <c r="H40" s="4">
        <v>-14.44</v>
      </c>
      <c r="I40" t="s">
        <v>3</v>
      </c>
      <c r="J40" t="s">
        <v>4</v>
      </c>
    </row>
    <row r="41" spans="1:10" x14ac:dyDescent="0.25">
      <c r="A41">
        <v>116</v>
      </c>
      <c r="B41" t="s">
        <v>87</v>
      </c>
      <c r="C41" t="s">
        <v>36</v>
      </c>
      <c r="D41" t="s">
        <v>66</v>
      </c>
      <c r="E41" s="3">
        <v>0</v>
      </c>
      <c r="F41" s="3" t="s">
        <v>4</v>
      </c>
      <c r="G41" s="3">
        <v>0</v>
      </c>
      <c r="H41" s="4">
        <v>-35.15</v>
      </c>
      <c r="I41" t="s">
        <v>3</v>
      </c>
      <c r="J41" t="s">
        <v>4</v>
      </c>
    </row>
    <row r="42" spans="1:10" x14ac:dyDescent="0.25">
      <c r="A42">
        <v>120</v>
      </c>
      <c r="B42" t="s">
        <v>89</v>
      </c>
      <c r="C42" t="s">
        <v>36</v>
      </c>
      <c r="D42" t="s">
        <v>59</v>
      </c>
      <c r="E42" s="3">
        <v>0</v>
      </c>
      <c r="F42" s="3" t="s">
        <v>4</v>
      </c>
      <c r="G42" s="3">
        <v>0</v>
      </c>
      <c r="H42" s="4">
        <v>-41.8</v>
      </c>
      <c r="I42" t="s">
        <v>3</v>
      </c>
      <c r="J42" t="s">
        <v>4</v>
      </c>
    </row>
    <row r="43" spans="1:10" x14ac:dyDescent="0.25">
      <c r="A43">
        <v>124</v>
      </c>
      <c r="B43" t="s">
        <v>92</v>
      </c>
      <c r="C43" t="s">
        <v>36</v>
      </c>
      <c r="D43" t="s">
        <v>63</v>
      </c>
      <c r="E43" s="3">
        <v>0</v>
      </c>
      <c r="F43" s="3" t="s">
        <v>4</v>
      </c>
      <c r="G43" s="3">
        <v>0</v>
      </c>
      <c r="H43" s="4">
        <v>-177.65</v>
      </c>
      <c r="I43" t="s">
        <v>3</v>
      </c>
      <c r="J43" t="s">
        <v>4</v>
      </c>
    </row>
    <row r="44" spans="1:10" x14ac:dyDescent="0.25">
      <c r="A44">
        <v>144</v>
      </c>
      <c r="B44" t="s">
        <v>100</v>
      </c>
      <c r="C44" t="s">
        <v>36</v>
      </c>
      <c r="D44" t="s">
        <v>63</v>
      </c>
      <c r="E44" s="3">
        <v>0</v>
      </c>
      <c r="F44" s="3" t="s">
        <v>4</v>
      </c>
      <c r="G44" s="3">
        <v>0</v>
      </c>
      <c r="H44" s="4">
        <v>-85.5</v>
      </c>
      <c r="I44" t="s">
        <v>3</v>
      </c>
      <c r="J44" t="s">
        <v>4</v>
      </c>
    </row>
    <row r="45" spans="1:10" x14ac:dyDescent="0.25">
      <c r="A45">
        <v>150</v>
      </c>
      <c r="B45" t="s">
        <v>104</v>
      </c>
      <c r="C45" t="s">
        <v>36</v>
      </c>
      <c r="D45" t="s">
        <v>63</v>
      </c>
      <c r="E45" s="3">
        <v>0</v>
      </c>
      <c r="F45" s="3" t="s">
        <v>4</v>
      </c>
      <c r="G45" s="3">
        <v>0</v>
      </c>
      <c r="H45" s="4">
        <v>-13.3</v>
      </c>
      <c r="I45" t="s">
        <v>3</v>
      </c>
      <c r="J45" t="s">
        <v>4</v>
      </c>
    </row>
    <row r="46" spans="1:10" x14ac:dyDescent="0.25">
      <c r="A46">
        <v>156</v>
      </c>
      <c r="B46" t="s">
        <v>108</v>
      </c>
      <c r="C46" t="s">
        <v>36</v>
      </c>
      <c r="D46" t="s">
        <v>63</v>
      </c>
      <c r="E46" s="3">
        <v>0</v>
      </c>
      <c r="F46" s="3" t="s">
        <v>4</v>
      </c>
      <c r="G46" s="3">
        <v>0</v>
      </c>
      <c r="H46" s="4">
        <v>-12.35</v>
      </c>
      <c r="I46" t="s">
        <v>3</v>
      </c>
      <c r="J46" t="s">
        <v>4</v>
      </c>
    </row>
    <row r="47" spans="1:10" x14ac:dyDescent="0.25">
      <c r="A47">
        <v>162</v>
      </c>
      <c r="B47" t="s">
        <v>112</v>
      </c>
      <c r="C47" t="s">
        <v>36</v>
      </c>
      <c r="D47" t="s">
        <v>63</v>
      </c>
      <c r="E47" s="3">
        <v>0</v>
      </c>
      <c r="F47" s="3" t="s">
        <v>4</v>
      </c>
      <c r="G47" s="3">
        <v>0</v>
      </c>
      <c r="H47" s="4">
        <v>-12.35</v>
      </c>
      <c r="I47" t="s">
        <v>3</v>
      </c>
      <c r="J47" t="s">
        <v>4</v>
      </c>
    </row>
    <row r="48" spans="1:10" x14ac:dyDescent="0.25">
      <c r="A48">
        <v>169</v>
      </c>
      <c r="B48" s="1" t="s">
        <v>116</v>
      </c>
      <c r="C48" s="1" t="s">
        <v>36</v>
      </c>
      <c r="D48" s="1" t="s">
        <v>63</v>
      </c>
      <c r="E48" s="3">
        <v>0</v>
      </c>
      <c r="F48" s="3" t="s">
        <v>4</v>
      </c>
      <c r="G48" s="3">
        <v>0</v>
      </c>
      <c r="H48" s="4">
        <v>-152</v>
      </c>
      <c r="I48" s="1" t="s">
        <v>3</v>
      </c>
      <c r="J48" s="1" t="s">
        <v>4</v>
      </c>
    </row>
    <row r="49" spans="1:10" x14ac:dyDescent="0.25">
      <c r="A49" s="24">
        <v>176</v>
      </c>
      <c r="B49" s="24" t="s">
        <v>119</v>
      </c>
      <c r="C49" s="24" t="s">
        <v>34</v>
      </c>
      <c r="D49" s="24" t="s">
        <v>60</v>
      </c>
      <c r="E49" s="25">
        <v>4</v>
      </c>
      <c r="F49" s="25">
        <v>8</v>
      </c>
      <c r="G49" s="25">
        <v>0</v>
      </c>
      <c r="H49" s="26">
        <v>3030</v>
      </c>
      <c r="I49" s="24" t="s">
        <v>3</v>
      </c>
      <c r="J49" s="24" t="s">
        <v>4</v>
      </c>
    </row>
    <row r="50" spans="1:10" x14ac:dyDescent="0.25">
      <c r="A50">
        <v>181</v>
      </c>
      <c r="B50" s="1" t="s">
        <v>121</v>
      </c>
      <c r="C50" s="1" t="s">
        <v>34</v>
      </c>
      <c r="D50" s="1" t="s">
        <v>73</v>
      </c>
      <c r="E50" s="3">
        <v>4</v>
      </c>
      <c r="F50" s="3">
        <v>5</v>
      </c>
      <c r="G50" s="3">
        <v>0</v>
      </c>
      <c r="H50" s="4">
        <v>3470</v>
      </c>
      <c r="I50" s="1" t="s">
        <v>3</v>
      </c>
      <c r="J50" s="1" t="s">
        <v>4</v>
      </c>
    </row>
    <row r="51" spans="1:10" x14ac:dyDescent="0.25">
      <c r="A51">
        <v>22</v>
      </c>
      <c r="B51" t="s">
        <v>33</v>
      </c>
      <c r="C51" t="s">
        <v>34</v>
      </c>
      <c r="D51" t="s">
        <v>2</v>
      </c>
      <c r="E51" s="3">
        <v>2</v>
      </c>
      <c r="F51" s="3">
        <v>22</v>
      </c>
      <c r="G51" s="3">
        <v>0</v>
      </c>
      <c r="H51" s="4">
        <v>24.72</v>
      </c>
      <c r="I51" t="s">
        <v>3</v>
      </c>
      <c r="J51" t="s">
        <v>4</v>
      </c>
    </row>
    <row r="52" spans="1:10" x14ac:dyDescent="0.25">
      <c r="A52">
        <v>27</v>
      </c>
      <c r="B52" s="1" t="s">
        <v>39</v>
      </c>
      <c r="C52" s="1" t="s">
        <v>34</v>
      </c>
      <c r="D52" s="1" t="s">
        <v>8</v>
      </c>
      <c r="E52" s="3">
        <v>2</v>
      </c>
      <c r="F52" s="3">
        <v>30</v>
      </c>
      <c r="G52" s="3">
        <v>0</v>
      </c>
      <c r="H52" s="4">
        <v>247.2</v>
      </c>
      <c r="I52" s="1" t="s">
        <v>3</v>
      </c>
      <c r="J52" s="1" t="s">
        <v>4</v>
      </c>
    </row>
    <row r="53" spans="1:10" x14ac:dyDescent="0.25">
      <c r="A53">
        <v>32</v>
      </c>
      <c r="B53" t="s">
        <v>41</v>
      </c>
      <c r="C53" t="s">
        <v>34</v>
      </c>
      <c r="D53" t="s">
        <v>11</v>
      </c>
      <c r="E53" s="3">
        <v>2</v>
      </c>
      <c r="F53" s="3">
        <v>7</v>
      </c>
      <c r="G53" s="3">
        <v>0</v>
      </c>
      <c r="H53" s="4">
        <v>415.5</v>
      </c>
      <c r="I53" t="s">
        <v>3</v>
      </c>
      <c r="J53" t="s">
        <v>4</v>
      </c>
    </row>
    <row r="54" spans="1:10" x14ac:dyDescent="0.25">
      <c r="A54">
        <v>37</v>
      </c>
      <c r="B54" s="1" t="s">
        <v>43</v>
      </c>
      <c r="C54" s="1" t="s">
        <v>34</v>
      </c>
      <c r="D54" s="1" t="s">
        <v>14</v>
      </c>
      <c r="E54" s="3">
        <v>2</v>
      </c>
      <c r="F54" s="3">
        <v>5</v>
      </c>
      <c r="G54" s="3">
        <v>0</v>
      </c>
      <c r="H54" s="4">
        <v>277</v>
      </c>
      <c r="I54" s="1" t="s">
        <v>3</v>
      </c>
      <c r="J54" s="1" t="s">
        <v>4</v>
      </c>
    </row>
    <row r="55" spans="1:10" x14ac:dyDescent="0.25">
      <c r="A55">
        <v>42</v>
      </c>
      <c r="B55" t="s">
        <v>45</v>
      </c>
      <c r="C55" t="s">
        <v>34</v>
      </c>
      <c r="D55" t="s">
        <v>17</v>
      </c>
      <c r="E55" s="3">
        <v>2</v>
      </c>
      <c r="F55" s="3">
        <v>2</v>
      </c>
      <c r="G55" s="3">
        <v>0</v>
      </c>
      <c r="H55" s="4">
        <v>217.35</v>
      </c>
      <c r="I55" t="s">
        <v>3</v>
      </c>
      <c r="J55" t="s">
        <v>4</v>
      </c>
    </row>
    <row r="56" spans="1:10" x14ac:dyDescent="0.25">
      <c r="A56">
        <v>47</v>
      </c>
      <c r="B56" s="1" t="s">
        <v>47</v>
      </c>
      <c r="C56" s="1" t="s">
        <v>34</v>
      </c>
      <c r="D56" s="1" t="s">
        <v>20</v>
      </c>
      <c r="E56" s="3">
        <v>2</v>
      </c>
      <c r="F56" s="3">
        <v>6</v>
      </c>
      <c r="G56" s="3">
        <v>0</v>
      </c>
      <c r="H56" s="4">
        <v>289.8</v>
      </c>
      <c r="I56" s="1" t="s">
        <v>3</v>
      </c>
      <c r="J56" s="1" t="s">
        <v>4</v>
      </c>
    </row>
    <row r="57" spans="1:10" x14ac:dyDescent="0.25">
      <c r="A57">
        <v>52</v>
      </c>
      <c r="B57" t="s">
        <v>49</v>
      </c>
      <c r="C57" t="s">
        <v>34</v>
      </c>
      <c r="D57" t="s">
        <v>23</v>
      </c>
      <c r="E57" s="3">
        <v>2</v>
      </c>
      <c r="F57" s="3">
        <v>4</v>
      </c>
      <c r="G57" s="3">
        <v>0</v>
      </c>
      <c r="H57" s="4">
        <v>289.8</v>
      </c>
      <c r="I57" t="s">
        <v>3</v>
      </c>
      <c r="J57" t="s">
        <v>4</v>
      </c>
    </row>
    <row r="58" spans="1:10" x14ac:dyDescent="0.25">
      <c r="A58">
        <v>57</v>
      </c>
      <c r="B58" s="1" t="s">
        <v>51</v>
      </c>
      <c r="C58" s="1" t="s">
        <v>34</v>
      </c>
      <c r="D58" s="1" t="s">
        <v>25</v>
      </c>
      <c r="E58" s="3">
        <v>2</v>
      </c>
      <c r="F58" s="3">
        <v>15</v>
      </c>
      <c r="G58" s="3">
        <v>0</v>
      </c>
      <c r="H58" s="4">
        <v>1396</v>
      </c>
      <c r="I58" s="1" t="s">
        <v>3</v>
      </c>
      <c r="J58" s="1" t="s">
        <v>4</v>
      </c>
    </row>
    <row r="59" spans="1:10" x14ac:dyDescent="0.25">
      <c r="A59">
        <v>62</v>
      </c>
      <c r="B59" t="s">
        <v>53</v>
      </c>
      <c r="C59" t="s">
        <v>34</v>
      </c>
      <c r="D59" t="s">
        <v>28</v>
      </c>
      <c r="E59" s="3">
        <v>2</v>
      </c>
      <c r="F59" s="3">
        <v>13</v>
      </c>
      <c r="G59" s="3">
        <v>0</v>
      </c>
      <c r="H59" s="4">
        <v>1006.5</v>
      </c>
      <c r="I59" t="s">
        <v>3</v>
      </c>
      <c r="J59" t="s">
        <v>4</v>
      </c>
    </row>
    <row r="60" spans="1:10" x14ac:dyDescent="0.25">
      <c r="A60">
        <v>81</v>
      </c>
      <c r="B60" s="1" t="s">
        <v>64</v>
      </c>
      <c r="C60" s="1" t="s">
        <v>34</v>
      </c>
      <c r="D60" s="1" t="s">
        <v>56</v>
      </c>
      <c r="E60" s="3">
        <v>1</v>
      </c>
      <c r="F60" s="3">
        <v>24</v>
      </c>
      <c r="G60" s="3">
        <v>0</v>
      </c>
      <c r="H60" s="4">
        <v>38</v>
      </c>
      <c r="I60" s="1" t="s">
        <v>3</v>
      </c>
      <c r="J60" s="1" t="s">
        <v>4</v>
      </c>
    </row>
    <row r="61" spans="1:10" x14ac:dyDescent="0.25">
      <c r="A61">
        <v>87</v>
      </c>
      <c r="B61" s="1" t="s">
        <v>68</v>
      </c>
      <c r="C61" s="1" t="s">
        <v>34</v>
      </c>
      <c r="D61" s="1" t="s">
        <v>58</v>
      </c>
      <c r="E61" s="3">
        <v>1</v>
      </c>
      <c r="F61" s="3">
        <v>8</v>
      </c>
      <c r="G61" s="3">
        <v>0</v>
      </c>
      <c r="H61" s="4">
        <v>76</v>
      </c>
      <c r="I61" s="1" t="s">
        <v>3</v>
      </c>
      <c r="J61" s="1" t="s">
        <v>4</v>
      </c>
    </row>
    <row r="62" spans="1:10" x14ac:dyDescent="0.25">
      <c r="A62">
        <v>115</v>
      </c>
      <c r="B62" s="1" t="s">
        <v>86</v>
      </c>
      <c r="C62" s="1" t="s">
        <v>34</v>
      </c>
      <c r="D62" s="1" t="s">
        <v>66</v>
      </c>
      <c r="E62" s="3">
        <v>1</v>
      </c>
      <c r="F62" s="3">
        <v>23</v>
      </c>
      <c r="G62" s="3">
        <v>0</v>
      </c>
      <c r="H62" s="4">
        <v>185</v>
      </c>
      <c r="I62" s="1" t="s">
        <v>3</v>
      </c>
      <c r="J62" s="1" t="s">
        <v>4</v>
      </c>
    </row>
    <row r="63" spans="1:10" x14ac:dyDescent="0.25">
      <c r="A63">
        <v>168</v>
      </c>
      <c r="B63" t="s">
        <v>115</v>
      </c>
      <c r="C63" t="s">
        <v>34</v>
      </c>
      <c r="D63" t="s">
        <v>63</v>
      </c>
      <c r="E63" s="3">
        <v>6</v>
      </c>
      <c r="F63" s="3">
        <v>21</v>
      </c>
      <c r="G63" s="3">
        <v>0</v>
      </c>
      <c r="H63" s="4">
        <v>800</v>
      </c>
      <c r="I63" t="s">
        <v>3</v>
      </c>
      <c r="J63" t="s">
        <v>4</v>
      </c>
    </row>
  </sheetData>
  <printOptions gridLines="1"/>
  <pageMargins left="0.75" right="0.75" top="1" bottom="1" header="0.5" footer="0.5"/>
  <pageSetup paperSize="9" orientation="landscape" horizontalDpi="300" verticalDpi="300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62A4-6361-4126-B78E-4E2406D14CA8}">
  <dimension ref="A3:J42"/>
  <sheetViews>
    <sheetView workbookViewId="0">
      <selection activeCell="C21" sqref="C21"/>
    </sheetView>
  </sheetViews>
  <sheetFormatPr defaultRowHeight="12.5" x14ac:dyDescent="0.25"/>
  <cols>
    <col min="1" max="1" width="23.7265625" bestFit="1" customWidth="1"/>
    <col min="2" max="3" width="23.54296875" bestFit="1" customWidth="1"/>
    <col min="4" max="4" width="13.08984375" bestFit="1" customWidth="1"/>
    <col min="5" max="5" width="24.453125" bestFit="1" customWidth="1"/>
    <col min="6" max="6" width="23.7265625" bestFit="1" customWidth="1"/>
    <col min="7" max="9" width="22.453125" bestFit="1" customWidth="1"/>
    <col min="10" max="10" width="13.08984375" bestFit="1" customWidth="1"/>
    <col min="11" max="11" width="11" bestFit="1" customWidth="1"/>
    <col min="12" max="12" width="13.08984375" bestFit="1" customWidth="1"/>
  </cols>
  <sheetData>
    <row r="3" spans="1:10" x14ac:dyDescent="0.25">
      <c r="A3" s="11" t="s">
        <v>134</v>
      </c>
      <c r="B3" s="11" t="s">
        <v>140</v>
      </c>
      <c r="C3" s="9"/>
      <c r="D3" s="10"/>
      <c r="F3" s="11" t="s">
        <v>134</v>
      </c>
      <c r="G3" s="11" t="s">
        <v>124</v>
      </c>
      <c r="H3" s="9"/>
      <c r="I3" s="9"/>
      <c r="J3" s="10"/>
    </row>
    <row r="4" spans="1:10" x14ac:dyDescent="0.25">
      <c r="A4" s="11" t="s">
        <v>125</v>
      </c>
      <c r="B4" s="8" t="s">
        <v>1</v>
      </c>
      <c r="C4" s="17" t="s">
        <v>141</v>
      </c>
      <c r="D4" s="14" t="s">
        <v>132</v>
      </c>
      <c r="F4" s="11" t="s">
        <v>125</v>
      </c>
      <c r="G4" s="8" t="s">
        <v>1</v>
      </c>
      <c r="H4" s="17" t="s">
        <v>82</v>
      </c>
      <c r="I4" s="17" t="s">
        <v>37</v>
      </c>
      <c r="J4" s="14" t="s">
        <v>132</v>
      </c>
    </row>
    <row r="5" spans="1:10" x14ac:dyDescent="0.25">
      <c r="A5" s="8" t="s">
        <v>60</v>
      </c>
      <c r="B5" s="39">
        <v>20000</v>
      </c>
      <c r="C5" s="40">
        <v>-24479.3</v>
      </c>
      <c r="D5" s="20">
        <v>-4479.2999999999993</v>
      </c>
      <c r="F5" s="8" t="s">
        <v>60</v>
      </c>
      <c r="G5" s="39">
        <v>20000</v>
      </c>
      <c r="H5" s="40"/>
      <c r="I5" s="40">
        <v>-24479.3</v>
      </c>
      <c r="J5" s="20">
        <v>-4479.2999999999993</v>
      </c>
    </row>
    <row r="6" spans="1:10" x14ac:dyDescent="0.25">
      <c r="A6" s="12" t="s">
        <v>73</v>
      </c>
      <c r="B6" s="41">
        <v>20000</v>
      </c>
      <c r="C6" s="42">
        <v>-24965.3</v>
      </c>
      <c r="D6" s="21">
        <v>-4965.2999999999993</v>
      </c>
      <c r="F6" s="12" t="s">
        <v>73</v>
      </c>
      <c r="G6" s="41">
        <v>20000</v>
      </c>
      <c r="H6" s="42"/>
      <c r="I6" s="42">
        <v>-24965.3</v>
      </c>
      <c r="J6" s="21">
        <v>-4965.2999999999993</v>
      </c>
    </row>
    <row r="7" spans="1:10" x14ac:dyDescent="0.25">
      <c r="A7" s="12" t="s">
        <v>2</v>
      </c>
      <c r="B7" s="41">
        <v>200</v>
      </c>
      <c r="C7" s="42">
        <v>-219.72</v>
      </c>
      <c r="D7" s="21">
        <v>-19.72</v>
      </c>
      <c r="F7" s="12" t="s">
        <v>2</v>
      </c>
      <c r="G7" s="41">
        <v>200</v>
      </c>
      <c r="H7" s="42"/>
      <c r="I7" s="42">
        <v>-219.72</v>
      </c>
      <c r="J7" s="21">
        <v>-19.72</v>
      </c>
    </row>
    <row r="8" spans="1:10" x14ac:dyDescent="0.25">
      <c r="A8" s="12" t="s">
        <v>8</v>
      </c>
      <c r="B8" s="41">
        <v>2000</v>
      </c>
      <c r="C8" s="42">
        <v>-2200.1999999999998</v>
      </c>
      <c r="D8" s="21">
        <v>-200.19999999999982</v>
      </c>
      <c r="F8" s="12" t="s">
        <v>8</v>
      </c>
      <c r="G8" s="41">
        <v>2000</v>
      </c>
      <c r="H8" s="42"/>
      <c r="I8" s="42">
        <v>-2200.1999999999998</v>
      </c>
      <c r="J8" s="21">
        <v>-200.19999999999982</v>
      </c>
    </row>
    <row r="9" spans="1:10" x14ac:dyDescent="0.25">
      <c r="A9" s="12" t="s">
        <v>11</v>
      </c>
      <c r="B9" s="41">
        <v>3000</v>
      </c>
      <c r="C9" s="42">
        <v>-3336.5</v>
      </c>
      <c r="D9" s="21">
        <v>-336.5</v>
      </c>
      <c r="F9" s="12" t="s">
        <v>11</v>
      </c>
      <c r="G9" s="41">
        <v>3000</v>
      </c>
      <c r="H9" s="42"/>
      <c r="I9" s="42">
        <v>-3336.5</v>
      </c>
      <c r="J9" s="21">
        <v>-336.5</v>
      </c>
    </row>
    <row r="10" spans="1:10" x14ac:dyDescent="0.25">
      <c r="A10" s="12" t="s">
        <v>14</v>
      </c>
      <c r="B10" s="41">
        <v>2000</v>
      </c>
      <c r="C10" s="42">
        <v>-2224</v>
      </c>
      <c r="D10" s="21">
        <v>-224</v>
      </c>
      <c r="F10" s="12" t="s">
        <v>14</v>
      </c>
      <c r="G10" s="41">
        <v>2000</v>
      </c>
      <c r="H10" s="42"/>
      <c r="I10" s="42">
        <v>-2224</v>
      </c>
      <c r="J10" s="21">
        <v>-224</v>
      </c>
    </row>
    <row r="11" spans="1:10" x14ac:dyDescent="0.25">
      <c r="A11" s="12" t="s">
        <v>17</v>
      </c>
      <c r="B11" s="41">
        <v>1500</v>
      </c>
      <c r="C11" s="42">
        <v>-1676.35</v>
      </c>
      <c r="D11" s="21">
        <v>-176.34999999999991</v>
      </c>
      <c r="F11" s="12" t="s">
        <v>17</v>
      </c>
      <c r="G11" s="41">
        <v>1500</v>
      </c>
      <c r="H11" s="42"/>
      <c r="I11" s="42">
        <v>-1676.35</v>
      </c>
      <c r="J11" s="21">
        <v>-176.34999999999991</v>
      </c>
    </row>
    <row r="12" spans="1:10" x14ac:dyDescent="0.25">
      <c r="A12" s="12" t="s">
        <v>20</v>
      </c>
      <c r="B12" s="41">
        <v>2000</v>
      </c>
      <c r="C12" s="42">
        <v>-2234.8000000000002</v>
      </c>
      <c r="D12" s="21">
        <v>-234.80000000000018</v>
      </c>
      <c r="F12" s="12" t="s">
        <v>20</v>
      </c>
      <c r="G12" s="41">
        <v>2000</v>
      </c>
      <c r="H12" s="42"/>
      <c r="I12" s="42">
        <v>-2234.8000000000002</v>
      </c>
      <c r="J12" s="21">
        <v>-234.80000000000018</v>
      </c>
    </row>
    <row r="13" spans="1:10" x14ac:dyDescent="0.25">
      <c r="A13" s="12" t="s">
        <v>23</v>
      </c>
      <c r="B13" s="41">
        <v>2000</v>
      </c>
      <c r="C13" s="42">
        <v>-2234.8000000000002</v>
      </c>
      <c r="D13" s="21">
        <v>-234.80000000000018</v>
      </c>
      <c r="F13" s="12" t="s">
        <v>23</v>
      </c>
      <c r="G13" s="41">
        <v>2000</v>
      </c>
      <c r="H13" s="42"/>
      <c r="I13" s="42">
        <v>-2234.8000000000002</v>
      </c>
      <c r="J13" s="21">
        <v>-234.80000000000018</v>
      </c>
    </row>
    <row r="14" spans="1:10" x14ac:dyDescent="0.25">
      <c r="A14" s="12" t="s">
        <v>71</v>
      </c>
      <c r="B14" s="41">
        <v>40000</v>
      </c>
      <c r="C14" s="42">
        <v>0</v>
      </c>
      <c r="D14" s="21">
        <v>40000</v>
      </c>
      <c r="F14" s="12" t="s">
        <v>71</v>
      </c>
      <c r="G14" s="41">
        <v>40000</v>
      </c>
      <c r="H14" s="42">
        <v>40000</v>
      </c>
      <c r="I14" s="42">
        <v>-40000</v>
      </c>
      <c r="J14" s="21">
        <v>40000</v>
      </c>
    </row>
    <row r="15" spans="1:10" x14ac:dyDescent="0.25">
      <c r="A15" s="12" t="s">
        <v>25</v>
      </c>
      <c r="B15" s="41">
        <v>10000</v>
      </c>
      <c r="C15" s="42">
        <v>-11131</v>
      </c>
      <c r="D15" s="21">
        <v>-1131</v>
      </c>
      <c r="F15" s="12" t="s">
        <v>25</v>
      </c>
      <c r="G15" s="41">
        <v>10000</v>
      </c>
      <c r="H15" s="42"/>
      <c r="I15" s="42">
        <v>-11131</v>
      </c>
      <c r="J15" s="21">
        <v>-1131</v>
      </c>
    </row>
    <row r="16" spans="1:10" x14ac:dyDescent="0.25">
      <c r="A16" s="12" t="s">
        <v>28</v>
      </c>
      <c r="B16" s="41">
        <v>7500</v>
      </c>
      <c r="C16" s="42">
        <v>-8315.5</v>
      </c>
      <c r="D16" s="21">
        <v>-815.5</v>
      </c>
      <c r="F16" s="12" t="s">
        <v>28</v>
      </c>
      <c r="G16" s="41">
        <v>7500</v>
      </c>
      <c r="H16" s="42"/>
      <c r="I16" s="42">
        <v>-8315.5</v>
      </c>
      <c r="J16" s="21">
        <v>-815.5</v>
      </c>
    </row>
    <row r="17" spans="1:10" x14ac:dyDescent="0.25">
      <c r="A17" s="12" t="s">
        <v>74</v>
      </c>
      <c r="B17" s="41">
        <v>50000</v>
      </c>
      <c r="C17" s="42"/>
      <c r="D17" s="21">
        <v>50000</v>
      </c>
      <c r="F17" s="12" t="s">
        <v>74</v>
      </c>
      <c r="G17" s="41">
        <v>50000</v>
      </c>
      <c r="H17" s="42"/>
      <c r="I17" s="42"/>
      <c r="J17" s="21">
        <v>50000</v>
      </c>
    </row>
    <row r="18" spans="1:10" x14ac:dyDescent="0.25">
      <c r="A18" s="12" t="s">
        <v>70</v>
      </c>
      <c r="B18" s="41">
        <v>50000</v>
      </c>
      <c r="C18" s="42">
        <v>0</v>
      </c>
      <c r="D18" s="21">
        <v>50000</v>
      </c>
      <c r="F18" s="12" t="s">
        <v>70</v>
      </c>
      <c r="G18" s="41">
        <v>50000</v>
      </c>
      <c r="H18" s="42">
        <v>50000</v>
      </c>
      <c r="I18" s="42">
        <v>-50000</v>
      </c>
      <c r="J18" s="21">
        <v>50000</v>
      </c>
    </row>
    <row r="19" spans="1:10" x14ac:dyDescent="0.25">
      <c r="A19" s="12" t="s">
        <v>56</v>
      </c>
      <c r="B19" s="41">
        <v>10000</v>
      </c>
      <c r="C19" s="42"/>
      <c r="D19" s="21">
        <v>10000</v>
      </c>
      <c r="F19" s="12" t="s">
        <v>56</v>
      </c>
      <c r="G19" s="41">
        <v>10000</v>
      </c>
      <c r="H19" s="42"/>
      <c r="I19" s="42"/>
      <c r="J19" s="21">
        <v>10000</v>
      </c>
    </row>
    <row r="20" spans="1:10" x14ac:dyDescent="0.25">
      <c r="A20" s="12" t="s">
        <v>58</v>
      </c>
      <c r="B20" s="41">
        <v>20000</v>
      </c>
      <c r="C20" s="42"/>
      <c r="D20" s="21">
        <v>20000</v>
      </c>
      <c r="F20" s="12" t="s">
        <v>58</v>
      </c>
      <c r="G20" s="41">
        <v>20000</v>
      </c>
      <c r="H20" s="42"/>
      <c r="I20" s="42"/>
      <c r="J20" s="21">
        <v>20000</v>
      </c>
    </row>
    <row r="21" spans="1:10" x14ac:dyDescent="0.25">
      <c r="A21" s="12" t="s">
        <v>62</v>
      </c>
      <c r="B21" s="41">
        <v>50000</v>
      </c>
      <c r="C21" s="42">
        <v>0</v>
      </c>
      <c r="D21" s="21">
        <v>50000</v>
      </c>
      <c r="F21" s="12" t="s">
        <v>62</v>
      </c>
      <c r="G21" s="41">
        <v>50000</v>
      </c>
      <c r="H21" s="42">
        <v>50000</v>
      </c>
      <c r="I21" s="42">
        <v>-50000</v>
      </c>
      <c r="J21" s="21">
        <v>50000</v>
      </c>
    </row>
    <row r="22" spans="1:10" x14ac:dyDescent="0.25">
      <c r="A22" s="12" t="s">
        <v>66</v>
      </c>
      <c r="B22" s="41">
        <v>50000</v>
      </c>
      <c r="C22" s="42">
        <v>-50149.85</v>
      </c>
      <c r="D22" s="21">
        <v>-149.84999999999854</v>
      </c>
      <c r="F22" s="12" t="s">
        <v>66</v>
      </c>
      <c r="G22" s="41">
        <v>50000</v>
      </c>
      <c r="H22" s="42"/>
      <c r="I22" s="42">
        <v>-50149.85</v>
      </c>
      <c r="J22" s="21">
        <v>-149.84999999999854</v>
      </c>
    </row>
    <row r="23" spans="1:10" x14ac:dyDescent="0.25">
      <c r="A23" s="12" t="s">
        <v>59</v>
      </c>
      <c r="B23" s="41">
        <v>20000</v>
      </c>
      <c r="C23" s="42">
        <v>-82.200000000000728</v>
      </c>
      <c r="D23" s="21">
        <v>19917.8</v>
      </c>
      <c r="F23" s="12" t="s">
        <v>59</v>
      </c>
      <c r="G23" s="41">
        <v>20000</v>
      </c>
      <c r="H23" s="42">
        <v>20000</v>
      </c>
      <c r="I23" s="42">
        <v>-20082.2</v>
      </c>
      <c r="J23" s="21">
        <v>19917.8</v>
      </c>
    </row>
    <row r="24" spans="1:10" x14ac:dyDescent="0.25">
      <c r="A24" s="12" t="s">
        <v>63</v>
      </c>
      <c r="B24" s="41">
        <v>85000</v>
      </c>
      <c r="C24" s="42">
        <v>-51731.35</v>
      </c>
      <c r="D24" s="21">
        <v>33268.65</v>
      </c>
      <c r="F24" s="12" t="s">
        <v>63</v>
      </c>
      <c r="G24" s="41">
        <v>85000</v>
      </c>
      <c r="H24" s="42">
        <v>35000</v>
      </c>
      <c r="I24" s="42">
        <v>-86731.35</v>
      </c>
      <c r="J24" s="21">
        <v>33268.649999999994</v>
      </c>
    </row>
    <row r="25" spans="1:10" x14ac:dyDescent="0.25">
      <c r="A25" s="12" t="s">
        <v>31</v>
      </c>
      <c r="B25" s="41">
        <v>2028.4</v>
      </c>
      <c r="C25" s="42"/>
      <c r="D25" s="21">
        <v>2028.4</v>
      </c>
      <c r="F25" s="12" t="s">
        <v>31</v>
      </c>
      <c r="G25" s="41">
        <v>2028.4</v>
      </c>
      <c r="H25" s="42"/>
      <c r="I25" s="42"/>
      <c r="J25" s="21">
        <v>2028.4</v>
      </c>
    </row>
    <row r="26" spans="1:10" x14ac:dyDescent="0.25">
      <c r="A26" s="13" t="s">
        <v>132</v>
      </c>
      <c r="B26" s="43">
        <v>447228.4</v>
      </c>
      <c r="C26" s="44">
        <v>-184980.87000000002</v>
      </c>
      <c r="D26" s="19">
        <v>262247.52999999997</v>
      </c>
      <c r="F26" s="13" t="s">
        <v>132</v>
      </c>
      <c r="G26" s="43">
        <v>447228.4</v>
      </c>
      <c r="H26" s="44">
        <v>195000</v>
      </c>
      <c r="I26" s="44">
        <v>-379980.87</v>
      </c>
      <c r="J26" s="19">
        <v>262247.52999999997</v>
      </c>
    </row>
    <row r="32" spans="1:10" x14ac:dyDescent="0.25">
      <c r="F32" s="12" t="s">
        <v>71</v>
      </c>
      <c r="G32" s="41">
        <v>0</v>
      </c>
      <c r="H32" s="42"/>
      <c r="I32" s="42">
        <v>0</v>
      </c>
      <c r="J32" s="21">
        <f>SUM(G32:I32)</f>
        <v>0</v>
      </c>
    </row>
    <row r="33" spans="6:10" x14ac:dyDescent="0.25">
      <c r="F33" s="12" t="s">
        <v>25</v>
      </c>
      <c r="G33" s="41">
        <v>10000</v>
      </c>
      <c r="H33" s="42"/>
      <c r="I33" s="42">
        <v>-11131</v>
      </c>
      <c r="J33" s="21">
        <f t="shared" ref="J33:J42" si="0">SUM(G33:I33)</f>
        <v>-1131</v>
      </c>
    </row>
    <row r="34" spans="6:10" x14ac:dyDescent="0.25">
      <c r="F34" s="12" t="s">
        <v>28</v>
      </c>
      <c r="G34" s="41">
        <v>7500</v>
      </c>
      <c r="H34" s="42"/>
      <c r="I34" s="42">
        <v>-8315.5</v>
      </c>
      <c r="J34" s="21">
        <f t="shared" si="0"/>
        <v>-815.5</v>
      </c>
    </row>
    <row r="35" spans="6:10" x14ac:dyDescent="0.25">
      <c r="F35" s="12" t="s">
        <v>74</v>
      </c>
      <c r="G35" s="41">
        <v>50000</v>
      </c>
      <c r="H35" s="42"/>
      <c r="I35" s="42"/>
      <c r="J35" s="21">
        <f t="shared" si="0"/>
        <v>50000</v>
      </c>
    </row>
    <row r="36" spans="6:10" x14ac:dyDescent="0.25">
      <c r="F36" s="12" t="s">
        <v>70</v>
      </c>
      <c r="G36" s="41">
        <v>0</v>
      </c>
      <c r="H36" s="42">
        <v>0</v>
      </c>
      <c r="I36" s="42">
        <v>0</v>
      </c>
      <c r="J36" s="21">
        <f t="shared" si="0"/>
        <v>0</v>
      </c>
    </row>
    <row r="37" spans="6:10" x14ac:dyDescent="0.25">
      <c r="F37" s="12" t="s">
        <v>56</v>
      </c>
      <c r="G37" s="41">
        <v>10000</v>
      </c>
      <c r="H37" s="42"/>
      <c r="I37" s="42"/>
      <c r="J37" s="21">
        <f t="shared" si="0"/>
        <v>10000</v>
      </c>
    </row>
    <row r="38" spans="6:10" x14ac:dyDescent="0.25">
      <c r="F38" s="12" t="s">
        <v>58</v>
      </c>
      <c r="G38" s="41">
        <v>20000</v>
      </c>
      <c r="H38" s="42"/>
      <c r="I38" s="42"/>
      <c r="J38" s="21">
        <f t="shared" si="0"/>
        <v>20000</v>
      </c>
    </row>
    <row r="39" spans="6:10" x14ac:dyDescent="0.25">
      <c r="F39" s="12" t="s">
        <v>62</v>
      </c>
      <c r="G39" s="41">
        <v>0</v>
      </c>
      <c r="H39" s="42">
        <v>0</v>
      </c>
      <c r="I39" s="42">
        <v>0</v>
      </c>
      <c r="J39" s="21">
        <f t="shared" si="0"/>
        <v>0</v>
      </c>
    </row>
    <row r="40" spans="6:10" x14ac:dyDescent="0.25">
      <c r="F40" s="12" t="s">
        <v>66</v>
      </c>
      <c r="G40" s="41">
        <v>50000</v>
      </c>
      <c r="H40" s="42"/>
      <c r="I40" s="42">
        <v>-50149.85</v>
      </c>
      <c r="J40" s="21">
        <f t="shared" si="0"/>
        <v>-149.84999999999854</v>
      </c>
    </row>
    <row r="41" spans="6:10" x14ac:dyDescent="0.25">
      <c r="F41" s="12" t="s">
        <v>59</v>
      </c>
      <c r="G41" s="41">
        <v>0</v>
      </c>
      <c r="H41" s="42">
        <v>0</v>
      </c>
      <c r="I41" s="42">
        <f>-20082.2+20000</f>
        <v>-82.200000000000728</v>
      </c>
      <c r="J41" s="21">
        <f t="shared" si="0"/>
        <v>-82.200000000000728</v>
      </c>
    </row>
    <row r="42" spans="6:10" x14ac:dyDescent="0.25">
      <c r="F42" s="12" t="s">
        <v>63</v>
      </c>
      <c r="G42" s="41">
        <f>85000-35000</f>
        <v>50000</v>
      </c>
      <c r="H42" s="42"/>
      <c r="I42" s="42">
        <f>-86731.35+35000</f>
        <v>-51731.350000000006</v>
      </c>
      <c r="J42" s="21">
        <f t="shared" si="0"/>
        <v>-1731.3500000000058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8E14-D989-4490-9142-579995FAEA62}">
  <dimension ref="A1:L61"/>
  <sheetViews>
    <sheetView topLeftCell="A23" workbookViewId="0">
      <selection activeCell="D24" sqref="D24"/>
    </sheetView>
  </sheetViews>
  <sheetFormatPr defaultRowHeight="12.5" x14ac:dyDescent="0.25"/>
  <cols>
    <col min="1" max="1" width="4.36328125" customWidth="1"/>
    <col min="2" max="2" width="19.36328125" customWidth="1"/>
    <col min="3" max="4" width="21.7265625" customWidth="1"/>
    <col min="5" max="5" width="17" customWidth="1"/>
    <col min="6" max="6" width="12.1796875" customWidth="1"/>
    <col min="7" max="7" width="8.08984375" customWidth="1"/>
    <col min="8" max="8" width="19.26953125" customWidth="1"/>
    <col min="9" max="10" width="19.1796875" customWidth="1"/>
    <col min="11" max="11" width="11.08984375" bestFit="1" customWidth="1"/>
    <col min="12" max="12" width="21.81640625" bestFit="1" customWidth="1"/>
  </cols>
  <sheetData>
    <row r="1" spans="1:12" ht="13" x14ac:dyDescent="0.3">
      <c r="A1" s="37" t="s">
        <v>135</v>
      </c>
      <c r="B1" s="38" t="s">
        <v>123</v>
      </c>
      <c r="C1" s="38" t="s">
        <v>124</v>
      </c>
      <c r="D1" s="38" t="s">
        <v>140</v>
      </c>
      <c r="E1" s="38" t="s">
        <v>125</v>
      </c>
      <c r="F1" s="38" t="s">
        <v>126</v>
      </c>
      <c r="G1" s="38" t="s">
        <v>127</v>
      </c>
      <c r="H1" s="38" t="s">
        <v>128</v>
      </c>
      <c r="I1" s="38" t="s">
        <v>129</v>
      </c>
      <c r="J1" s="38" t="s">
        <v>139</v>
      </c>
      <c r="K1" s="38" t="s">
        <v>130</v>
      </c>
      <c r="L1" s="38" t="s">
        <v>131</v>
      </c>
    </row>
    <row r="2" spans="1:12" x14ac:dyDescent="0.25">
      <c r="A2" s="32">
        <v>72</v>
      </c>
      <c r="B2" s="32" t="s">
        <v>57</v>
      </c>
      <c r="C2" s="32" t="s">
        <v>1</v>
      </c>
      <c r="D2" s="32" t="s">
        <v>1</v>
      </c>
      <c r="E2" s="32" t="s">
        <v>60</v>
      </c>
      <c r="F2" s="33">
        <v>2370</v>
      </c>
      <c r="G2" s="33">
        <v>8</v>
      </c>
      <c r="H2" s="33">
        <v>200</v>
      </c>
      <c r="I2" s="34">
        <v>20000</v>
      </c>
      <c r="J2" s="34">
        <f t="shared" ref="J2:J33" si="0">-I2</f>
        <v>-20000</v>
      </c>
      <c r="K2" s="32" t="s">
        <v>3</v>
      </c>
      <c r="L2" s="32" t="s">
        <v>4</v>
      </c>
    </row>
    <row r="3" spans="1:12" x14ac:dyDescent="0.25">
      <c r="A3" s="23">
        <v>95</v>
      </c>
      <c r="B3" s="23" t="s">
        <v>69</v>
      </c>
      <c r="C3" s="23" t="s">
        <v>1</v>
      </c>
      <c r="D3" s="23" t="s">
        <v>1</v>
      </c>
      <c r="E3" s="23" t="s">
        <v>73</v>
      </c>
      <c r="F3" s="35">
        <v>2722</v>
      </c>
      <c r="G3" s="35">
        <v>5</v>
      </c>
      <c r="H3" s="35">
        <v>200</v>
      </c>
      <c r="I3" s="36">
        <v>20000</v>
      </c>
      <c r="J3" s="36">
        <f t="shared" si="0"/>
        <v>-20000</v>
      </c>
      <c r="K3" s="23" t="s">
        <v>3</v>
      </c>
      <c r="L3" s="23" t="s">
        <v>4</v>
      </c>
    </row>
    <row r="4" spans="1:12" x14ac:dyDescent="0.25">
      <c r="A4" s="22">
        <v>1</v>
      </c>
      <c r="B4" s="22" t="s">
        <v>0</v>
      </c>
      <c r="C4" s="22" t="s">
        <v>1</v>
      </c>
      <c r="D4" s="22" t="s">
        <v>1</v>
      </c>
      <c r="E4" s="22" t="s">
        <v>2</v>
      </c>
      <c r="F4" s="30">
        <v>17611</v>
      </c>
      <c r="G4" s="30">
        <v>22</v>
      </c>
      <c r="H4" s="30">
        <v>2</v>
      </c>
      <c r="I4" s="31">
        <v>200</v>
      </c>
      <c r="J4" s="31">
        <f t="shared" si="0"/>
        <v>-200</v>
      </c>
      <c r="K4" s="22" t="s">
        <v>3</v>
      </c>
      <c r="L4" s="22" t="s">
        <v>4</v>
      </c>
    </row>
    <row r="5" spans="1:12" x14ac:dyDescent="0.25">
      <c r="A5" s="23">
        <v>3</v>
      </c>
      <c r="B5" s="23" t="s">
        <v>7</v>
      </c>
      <c r="C5" s="23" t="s">
        <v>1</v>
      </c>
      <c r="D5" s="23" t="s">
        <v>1</v>
      </c>
      <c r="E5" s="23" t="s">
        <v>8</v>
      </c>
      <c r="F5" s="35">
        <v>21818</v>
      </c>
      <c r="G5" s="35">
        <v>30</v>
      </c>
      <c r="H5" s="35">
        <v>20</v>
      </c>
      <c r="I5" s="36">
        <v>2000</v>
      </c>
      <c r="J5" s="36">
        <f t="shared" si="0"/>
        <v>-2000</v>
      </c>
      <c r="K5" s="23" t="s">
        <v>3</v>
      </c>
      <c r="L5" s="23" t="s">
        <v>4</v>
      </c>
    </row>
    <row r="6" spans="1:12" x14ac:dyDescent="0.25">
      <c r="A6" s="22">
        <v>5</v>
      </c>
      <c r="B6" s="22" t="s">
        <v>10</v>
      </c>
      <c r="C6" s="22" t="s">
        <v>1</v>
      </c>
      <c r="D6" s="22" t="s">
        <v>1</v>
      </c>
      <c r="E6" s="22" t="s">
        <v>11</v>
      </c>
      <c r="F6" s="30">
        <v>4900</v>
      </c>
      <c r="G6" s="30">
        <v>7</v>
      </c>
      <c r="H6" s="30">
        <v>30</v>
      </c>
      <c r="I6" s="31">
        <v>3000</v>
      </c>
      <c r="J6" s="31">
        <f t="shared" si="0"/>
        <v>-3000</v>
      </c>
      <c r="K6" s="22" t="s">
        <v>3</v>
      </c>
      <c r="L6" s="22" t="s">
        <v>4</v>
      </c>
    </row>
    <row r="7" spans="1:12" x14ac:dyDescent="0.25">
      <c r="A7" s="23">
        <v>7</v>
      </c>
      <c r="B7" s="23" t="s">
        <v>13</v>
      </c>
      <c r="C7" s="23" t="s">
        <v>1</v>
      </c>
      <c r="D7" s="23" t="s">
        <v>1</v>
      </c>
      <c r="E7" s="23" t="s">
        <v>14</v>
      </c>
      <c r="F7" s="35">
        <v>2487</v>
      </c>
      <c r="G7" s="35">
        <v>5</v>
      </c>
      <c r="H7" s="35">
        <v>20</v>
      </c>
      <c r="I7" s="36">
        <v>2000</v>
      </c>
      <c r="J7" s="36">
        <f t="shared" si="0"/>
        <v>-2000</v>
      </c>
      <c r="K7" s="23" t="s">
        <v>3</v>
      </c>
      <c r="L7" s="23" t="s">
        <v>4</v>
      </c>
    </row>
    <row r="8" spans="1:12" x14ac:dyDescent="0.25">
      <c r="A8" s="22">
        <v>9</v>
      </c>
      <c r="B8" s="22" t="s">
        <v>16</v>
      </c>
      <c r="C8" s="22" t="s">
        <v>1</v>
      </c>
      <c r="D8" s="22" t="s">
        <v>1</v>
      </c>
      <c r="E8" s="22" t="s">
        <v>17</v>
      </c>
      <c r="F8" s="30">
        <v>2382</v>
      </c>
      <c r="G8" s="30">
        <v>2</v>
      </c>
      <c r="H8" s="30">
        <v>15</v>
      </c>
      <c r="I8" s="31">
        <v>1500</v>
      </c>
      <c r="J8" s="31">
        <f t="shared" si="0"/>
        <v>-1500</v>
      </c>
      <c r="K8" s="22" t="s">
        <v>3</v>
      </c>
      <c r="L8" s="22" t="s">
        <v>4</v>
      </c>
    </row>
    <row r="9" spans="1:12" x14ac:dyDescent="0.25">
      <c r="A9" s="23">
        <v>11</v>
      </c>
      <c r="B9" s="23" t="s">
        <v>19</v>
      </c>
      <c r="C9" s="23" t="s">
        <v>1</v>
      </c>
      <c r="D9" s="23" t="s">
        <v>1</v>
      </c>
      <c r="E9" s="23" t="s">
        <v>20</v>
      </c>
      <c r="F9" s="35">
        <v>4275</v>
      </c>
      <c r="G9" s="35">
        <v>6</v>
      </c>
      <c r="H9" s="35">
        <v>20</v>
      </c>
      <c r="I9" s="36">
        <v>2000</v>
      </c>
      <c r="J9" s="36">
        <f t="shared" si="0"/>
        <v>-2000</v>
      </c>
      <c r="K9" s="23" t="s">
        <v>3</v>
      </c>
      <c r="L9" s="23" t="s">
        <v>4</v>
      </c>
    </row>
    <row r="10" spans="1:12" x14ac:dyDescent="0.25">
      <c r="A10" s="22">
        <v>13</v>
      </c>
      <c r="B10" s="22" t="s">
        <v>22</v>
      </c>
      <c r="C10" s="22" t="s">
        <v>1</v>
      </c>
      <c r="D10" s="22" t="s">
        <v>1</v>
      </c>
      <c r="E10" s="22" t="s">
        <v>23</v>
      </c>
      <c r="F10" s="30">
        <v>1213</v>
      </c>
      <c r="G10" s="30">
        <v>4</v>
      </c>
      <c r="H10" s="30">
        <v>20</v>
      </c>
      <c r="I10" s="31">
        <v>2000</v>
      </c>
      <c r="J10" s="31">
        <f t="shared" si="0"/>
        <v>-2000</v>
      </c>
      <c r="K10" s="22" t="s">
        <v>3</v>
      </c>
      <c r="L10" s="22" t="s">
        <v>4</v>
      </c>
    </row>
    <row r="11" spans="1:12" x14ac:dyDescent="0.25">
      <c r="A11" s="23">
        <v>90</v>
      </c>
      <c r="B11" s="23" t="s">
        <v>69</v>
      </c>
      <c r="C11" s="23" t="s">
        <v>1</v>
      </c>
      <c r="D11" s="23" t="s">
        <v>1</v>
      </c>
      <c r="E11" s="23" t="s">
        <v>71</v>
      </c>
      <c r="F11" s="35">
        <v>2742</v>
      </c>
      <c r="G11" s="35">
        <v>5</v>
      </c>
      <c r="H11" s="35">
        <v>200</v>
      </c>
      <c r="I11" s="36">
        <v>20000</v>
      </c>
      <c r="J11" s="36">
        <f t="shared" si="0"/>
        <v>-20000</v>
      </c>
      <c r="K11" s="23" t="s">
        <v>3</v>
      </c>
      <c r="L11" s="23" t="s">
        <v>4</v>
      </c>
    </row>
    <row r="12" spans="1:12" x14ac:dyDescent="0.25">
      <c r="A12" s="22">
        <v>93</v>
      </c>
      <c r="B12" s="22" t="s">
        <v>69</v>
      </c>
      <c r="C12" s="22" t="s">
        <v>1</v>
      </c>
      <c r="D12" s="22" t="s">
        <v>1</v>
      </c>
      <c r="E12" s="22" t="s">
        <v>71</v>
      </c>
      <c r="F12" s="30">
        <v>2744</v>
      </c>
      <c r="G12" s="30">
        <v>5</v>
      </c>
      <c r="H12" s="30">
        <v>200</v>
      </c>
      <c r="I12" s="31">
        <v>20000</v>
      </c>
      <c r="J12" s="31">
        <f t="shared" si="0"/>
        <v>-20000</v>
      </c>
      <c r="K12" s="22" t="s">
        <v>3</v>
      </c>
      <c r="L12" s="22" t="s">
        <v>4</v>
      </c>
    </row>
    <row r="13" spans="1:12" x14ac:dyDescent="0.25">
      <c r="A13" s="22">
        <v>15</v>
      </c>
      <c r="B13" s="22" t="s">
        <v>24</v>
      </c>
      <c r="C13" s="22" t="s">
        <v>1</v>
      </c>
      <c r="D13" s="22" t="s">
        <v>1</v>
      </c>
      <c r="E13" s="22" t="s">
        <v>25</v>
      </c>
      <c r="F13" s="30">
        <v>5468</v>
      </c>
      <c r="G13" s="30">
        <v>15</v>
      </c>
      <c r="H13" s="30">
        <v>100</v>
      </c>
      <c r="I13" s="31">
        <v>10000</v>
      </c>
      <c r="J13" s="31">
        <f t="shared" si="0"/>
        <v>-10000</v>
      </c>
      <c r="K13" s="22" t="s">
        <v>3</v>
      </c>
      <c r="L13" s="22" t="s">
        <v>4</v>
      </c>
    </row>
    <row r="14" spans="1:12" x14ac:dyDescent="0.25">
      <c r="A14" s="22">
        <v>17</v>
      </c>
      <c r="B14" s="22" t="s">
        <v>27</v>
      </c>
      <c r="C14" s="22" t="s">
        <v>1</v>
      </c>
      <c r="D14" s="22" t="s">
        <v>1</v>
      </c>
      <c r="E14" s="22" t="s">
        <v>28</v>
      </c>
      <c r="F14" s="30">
        <v>5716</v>
      </c>
      <c r="G14" s="30">
        <v>13</v>
      </c>
      <c r="H14" s="30">
        <v>75</v>
      </c>
      <c r="I14" s="31">
        <v>7500</v>
      </c>
      <c r="J14" s="31">
        <f t="shared" si="0"/>
        <v>-7500</v>
      </c>
      <c r="K14" s="22" t="s">
        <v>3</v>
      </c>
      <c r="L14" s="22" t="s">
        <v>4</v>
      </c>
    </row>
    <row r="15" spans="1:12" x14ac:dyDescent="0.25">
      <c r="A15" s="23">
        <v>98</v>
      </c>
      <c r="B15" s="23" t="s">
        <v>69</v>
      </c>
      <c r="C15" s="23" t="s">
        <v>1</v>
      </c>
      <c r="D15" s="23" t="s">
        <v>1</v>
      </c>
      <c r="E15" s="23" t="s">
        <v>74</v>
      </c>
      <c r="F15" s="35">
        <v>2033</v>
      </c>
      <c r="G15" s="35">
        <v>5</v>
      </c>
      <c r="H15" s="35">
        <v>500</v>
      </c>
      <c r="I15" s="36">
        <v>50000</v>
      </c>
      <c r="J15" s="36">
        <f t="shared" si="0"/>
        <v>-50000</v>
      </c>
      <c r="K15" s="23" t="s">
        <v>3</v>
      </c>
      <c r="L15" s="23" t="s">
        <v>4</v>
      </c>
    </row>
    <row r="16" spans="1:12" x14ac:dyDescent="0.25">
      <c r="A16" s="22">
        <v>88</v>
      </c>
      <c r="B16" s="22" t="s">
        <v>69</v>
      </c>
      <c r="C16" s="22" t="s">
        <v>1</v>
      </c>
      <c r="D16" s="22" t="s">
        <v>1</v>
      </c>
      <c r="E16" s="22" t="s">
        <v>70</v>
      </c>
      <c r="F16" s="30">
        <v>2194</v>
      </c>
      <c r="G16" s="30">
        <v>5</v>
      </c>
      <c r="H16" s="30">
        <v>500</v>
      </c>
      <c r="I16" s="31">
        <v>50000</v>
      </c>
      <c r="J16" s="31">
        <f t="shared" si="0"/>
        <v>-50000</v>
      </c>
      <c r="K16" s="22" t="s">
        <v>3</v>
      </c>
      <c r="L16" s="22" t="s">
        <v>4</v>
      </c>
    </row>
    <row r="17" spans="1:12" x14ac:dyDescent="0.25">
      <c r="A17" s="23">
        <v>66</v>
      </c>
      <c r="B17" s="23" t="s">
        <v>55</v>
      </c>
      <c r="C17" s="23" t="s">
        <v>1</v>
      </c>
      <c r="D17" s="23" t="s">
        <v>1</v>
      </c>
      <c r="E17" s="23" t="s">
        <v>56</v>
      </c>
      <c r="F17" s="35">
        <v>3658</v>
      </c>
      <c r="G17" s="35">
        <v>24</v>
      </c>
      <c r="H17" s="35">
        <v>100</v>
      </c>
      <c r="I17" s="36">
        <v>10000</v>
      </c>
      <c r="J17" s="36">
        <f t="shared" si="0"/>
        <v>-10000</v>
      </c>
      <c r="K17" s="23" t="s">
        <v>3</v>
      </c>
      <c r="L17" s="23" t="s">
        <v>4</v>
      </c>
    </row>
    <row r="18" spans="1:12" x14ac:dyDescent="0.25">
      <c r="A18" s="22">
        <v>68</v>
      </c>
      <c r="B18" s="22" t="s">
        <v>57</v>
      </c>
      <c r="C18" s="22" t="s">
        <v>1</v>
      </c>
      <c r="D18" s="22" t="s">
        <v>1</v>
      </c>
      <c r="E18" s="22" t="s">
        <v>58</v>
      </c>
      <c r="F18" s="30">
        <v>2882</v>
      </c>
      <c r="G18" s="30">
        <v>8</v>
      </c>
      <c r="H18" s="30">
        <v>200</v>
      </c>
      <c r="I18" s="31">
        <v>20000</v>
      </c>
      <c r="J18" s="31">
        <f t="shared" si="0"/>
        <v>-20000</v>
      </c>
      <c r="K18" s="22" t="s">
        <v>3</v>
      </c>
      <c r="L18" s="22" t="s">
        <v>4</v>
      </c>
    </row>
    <row r="19" spans="1:12" x14ac:dyDescent="0.25">
      <c r="A19" s="22">
        <v>74</v>
      </c>
      <c r="B19" s="22" t="s">
        <v>61</v>
      </c>
      <c r="C19" s="22" t="s">
        <v>1</v>
      </c>
      <c r="D19" s="22" t="s">
        <v>1</v>
      </c>
      <c r="E19" s="22" t="s">
        <v>62</v>
      </c>
      <c r="F19" s="30">
        <v>5120</v>
      </c>
      <c r="G19" s="30">
        <v>21</v>
      </c>
      <c r="H19" s="30">
        <v>500</v>
      </c>
      <c r="I19" s="31">
        <v>50000</v>
      </c>
      <c r="J19" s="31">
        <f t="shared" si="0"/>
        <v>-50000</v>
      </c>
      <c r="K19" s="22" t="s">
        <v>3</v>
      </c>
      <c r="L19" s="22" t="s">
        <v>4</v>
      </c>
    </row>
    <row r="20" spans="1:12" x14ac:dyDescent="0.25">
      <c r="A20" s="22">
        <v>82</v>
      </c>
      <c r="B20" s="22" t="s">
        <v>65</v>
      </c>
      <c r="C20" s="22" t="s">
        <v>1</v>
      </c>
      <c r="D20" s="22" t="s">
        <v>1</v>
      </c>
      <c r="E20" s="22" t="s">
        <v>66</v>
      </c>
      <c r="F20" s="30">
        <v>5035</v>
      </c>
      <c r="G20" s="30">
        <v>23</v>
      </c>
      <c r="H20" s="30">
        <v>500</v>
      </c>
      <c r="I20" s="31">
        <v>50000</v>
      </c>
      <c r="J20" s="31">
        <f t="shared" si="0"/>
        <v>-50000</v>
      </c>
      <c r="K20" s="22" t="s">
        <v>3</v>
      </c>
      <c r="L20" s="22" t="s">
        <v>4</v>
      </c>
    </row>
    <row r="21" spans="1:12" x14ac:dyDescent="0.25">
      <c r="A21" s="23">
        <v>70</v>
      </c>
      <c r="B21" s="23" t="s">
        <v>57</v>
      </c>
      <c r="C21" s="23" t="s">
        <v>1</v>
      </c>
      <c r="D21" s="23" t="s">
        <v>1</v>
      </c>
      <c r="E21" s="23" t="s">
        <v>59</v>
      </c>
      <c r="F21" s="35">
        <v>356</v>
      </c>
      <c r="G21" s="35">
        <v>8</v>
      </c>
      <c r="H21" s="35">
        <v>200</v>
      </c>
      <c r="I21" s="36">
        <v>20000</v>
      </c>
      <c r="J21" s="36">
        <f t="shared" si="0"/>
        <v>-20000</v>
      </c>
      <c r="K21" s="23" t="s">
        <v>3</v>
      </c>
      <c r="L21" s="23" t="s">
        <v>4</v>
      </c>
    </row>
    <row r="22" spans="1:12" x14ac:dyDescent="0.25">
      <c r="A22" s="22">
        <v>76</v>
      </c>
      <c r="B22" s="22" t="s">
        <v>61</v>
      </c>
      <c r="C22" s="22" t="s">
        <v>1</v>
      </c>
      <c r="D22" s="22" t="s">
        <v>1</v>
      </c>
      <c r="E22" s="22" t="s">
        <v>63</v>
      </c>
      <c r="F22" s="30">
        <v>701</v>
      </c>
      <c r="G22" s="30">
        <v>21</v>
      </c>
      <c r="H22" s="30">
        <v>500</v>
      </c>
      <c r="I22" s="31">
        <v>50000</v>
      </c>
      <c r="J22" s="31">
        <f t="shared" si="0"/>
        <v>-50000</v>
      </c>
      <c r="K22" s="22" t="s">
        <v>3</v>
      </c>
      <c r="L22" s="22" t="s">
        <v>4</v>
      </c>
    </row>
    <row r="23" spans="1:12" x14ac:dyDescent="0.25">
      <c r="A23" s="23">
        <v>78</v>
      </c>
      <c r="B23" s="23" t="s">
        <v>61</v>
      </c>
      <c r="C23" s="23" t="s">
        <v>1</v>
      </c>
      <c r="D23" s="23" t="s">
        <v>1</v>
      </c>
      <c r="E23" s="23" t="s">
        <v>63</v>
      </c>
      <c r="F23" s="35">
        <v>702</v>
      </c>
      <c r="G23" s="35">
        <v>21</v>
      </c>
      <c r="H23" s="35">
        <v>350</v>
      </c>
      <c r="I23" s="36">
        <v>35000</v>
      </c>
      <c r="J23" s="36">
        <f t="shared" si="0"/>
        <v>-35000</v>
      </c>
      <c r="K23" s="23" t="s">
        <v>3</v>
      </c>
      <c r="L23" s="23" t="s">
        <v>4</v>
      </c>
    </row>
    <row r="24" spans="1:12" x14ac:dyDescent="0.25">
      <c r="A24" s="22">
        <v>19</v>
      </c>
      <c r="B24" s="22" t="s">
        <v>30</v>
      </c>
      <c r="C24" s="22" t="s">
        <v>1</v>
      </c>
      <c r="D24" s="22" t="s">
        <v>1</v>
      </c>
      <c r="E24" s="22" t="s">
        <v>31</v>
      </c>
      <c r="F24" s="30">
        <v>10146</v>
      </c>
      <c r="G24" s="30">
        <v>0</v>
      </c>
      <c r="H24" s="30">
        <v>20</v>
      </c>
      <c r="I24" s="31">
        <v>2028.4</v>
      </c>
      <c r="J24" s="31">
        <f t="shared" si="0"/>
        <v>-2028.4</v>
      </c>
      <c r="K24" s="22" t="s">
        <v>3</v>
      </c>
      <c r="L24" s="22" t="s">
        <v>32</v>
      </c>
    </row>
    <row r="25" spans="1:12" x14ac:dyDescent="0.25">
      <c r="A25" s="22">
        <v>106</v>
      </c>
      <c r="B25" s="22" t="s">
        <v>81</v>
      </c>
      <c r="C25" s="22" t="s">
        <v>82</v>
      </c>
      <c r="D25" s="22" t="s">
        <v>141</v>
      </c>
      <c r="E25" s="22" t="s">
        <v>71</v>
      </c>
      <c r="F25" s="30">
        <v>0</v>
      </c>
      <c r="G25" s="30">
        <v>5</v>
      </c>
      <c r="H25" s="30">
        <v>0</v>
      </c>
      <c r="I25" s="31">
        <v>40000</v>
      </c>
      <c r="J25" s="31">
        <f t="shared" si="0"/>
        <v>-40000</v>
      </c>
      <c r="K25" s="22" t="s">
        <v>3</v>
      </c>
      <c r="L25" s="22" t="s">
        <v>4</v>
      </c>
    </row>
    <row r="26" spans="1:12" x14ac:dyDescent="0.25">
      <c r="A26" s="22">
        <v>112</v>
      </c>
      <c r="B26" s="22" t="s">
        <v>85</v>
      </c>
      <c r="C26" s="22" t="s">
        <v>82</v>
      </c>
      <c r="D26" s="22" t="s">
        <v>141</v>
      </c>
      <c r="E26" s="22" t="s">
        <v>70</v>
      </c>
      <c r="F26" s="30">
        <v>0</v>
      </c>
      <c r="G26" s="30">
        <v>5</v>
      </c>
      <c r="H26" s="30">
        <v>0</v>
      </c>
      <c r="I26" s="31">
        <v>50000</v>
      </c>
      <c r="J26" s="31">
        <f t="shared" si="0"/>
        <v>-50000</v>
      </c>
      <c r="K26" s="22" t="s">
        <v>3</v>
      </c>
      <c r="L26" s="22" t="s">
        <v>4</v>
      </c>
    </row>
    <row r="27" spans="1:12" x14ac:dyDescent="0.25">
      <c r="A27" s="22">
        <v>110</v>
      </c>
      <c r="B27" s="22" t="s">
        <v>85</v>
      </c>
      <c r="C27" s="22" t="s">
        <v>82</v>
      </c>
      <c r="D27" s="22" t="s">
        <v>141</v>
      </c>
      <c r="E27" s="22" t="s">
        <v>62</v>
      </c>
      <c r="F27" s="30">
        <v>0</v>
      </c>
      <c r="G27" s="30">
        <v>21</v>
      </c>
      <c r="H27" s="30">
        <v>0</v>
      </c>
      <c r="I27" s="31">
        <v>50000</v>
      </c>
      <c r="J27" s="31">
        <f t="shared" si="0"/>
        <v>-50000</v>
      </c>
      <c r="K27" s="22" t="s">
        <v>3</v>
      </c>
      <c r="L27" s="22" t="s">
        <v>4</v>
      </c>
    </row>
    <row r="28" spans="1:12" x14ac:dyDescent="0.25">
      <c r="A28" s="22">
        <v>126</v>
      </c>
      <c r="B28" s="22" t="s">
        <v>93</v>
      </c>
      <c r="C28" s="22" t="s">
        <v>82</v>
      </c>
      <c r="D28" s="22" t="s">
        <v>141</v>
      </c>
      <c r="E28" s="22" t="s">
        <v>59</v>
      </c>
      <c r="F28" s="30">
        <v>0</v>
      </c>
      <c r="G28" s="30">
        <v>8</v>
      </c>
      <c r="H28" s="30">
        <v>0</v>
      </c>
      <c r="I28" s="31">
        <v>20000</v>
      </c>
      <c r="J28" s="31">
        <f t="shared" si="0"/>
        <v>-20000</v>
      </c>
      <c r="K28" s="22" t="s">
        <v>3</v>
      </c>
      <c r="L28" s="22" t="s">
        <v>4</v>
      </c>
    </row>
    <row r="29" spans="1:12" x14ac:dyDescent="0.25">
      <c r="A29" s="22">
        <v>131</v>
      </c>
      <c r="B29" s="22" t="s">
        <v>94</v>
      </c>
      <c r="C29" s="22" t="s">
        <v>82</v>
      </c>
      <c r="D29" s="22" t="s">
        <v>141</v>
      </c>
      <c r="E29" s="22" t="s">
        <v>63</v>
      </c>
      <c r="F29" s="30">
        <v>0</v>
      </c>
      <c r="G29" s="30">
        <v>21</v>
      </c>
      <c r="H29" s="30">
        <v>0</v>
      </c>
      <c r="I29" s="31">
        <v>20000</v>
      </c>
      <c r="J29" s="31">
        <f t="shared" si="0"/>
        <v>-20000</v>
      </c>
      <c r="K29" s="22" t="s">
        <v>3</v>
      </c>
      <c r="L29" s="22" t="s">
        <v>4</v>
      </c>
    </row>
    <row r="30" spans="1:12" x14ac:dyDescent="0.25">
      <c r="A30" s="22">
        <v>136</v>
      </c>
      <c r="B30" s="22" t="s">
        <v>96</v>
      </c>
      <c r="C30" s="22" t="s">
        <v>82</v>
      </c>
      <c r="D30" s="22" t="s">
        <v>141</v>
      </c>
      <c r="E30" s="22" t="s">
        <v>63</v>
      </c>
      <c r="F30" s="30">
        <v>0</v>
      </c>
      <c r="G30" s="30">
        <v>21</v>
      </c>
      <c r="H30" s="30">
        <v>0</v>
      </c>
      <c r="I30" s="31">
        <v>15000</v>
      </c>
      <c r="J30" s="31">
        <f t="shared" si="0"/>
        <v>-15000</v>
      </c>
      <c r="K30" s="22" t="s">
        <v>3</v>
      </c>
      <c r="L30" s="22" t="s">
        <v>4</v>
      </c>
    </row>
    <row r="31" spans="1:12" x14ac:dyDescent="0.25">
      <c r="A31" s="32">
        <v>142</v>
      </c>
      <c r="B31" s="32" t="s">
        <v>98</v>
      </c>
      <c r="C31" s="32" t="s">
        <v>37</v>
      </c>
      <c r="D31" s="22" t="s">
        <v>141</v>
      </c>
      <c r="E31" s="32" t="s">
        <v>60</v>
      </c>
      <c r="F31" s="33">
        <v>0</v>
      </c>
      <c r="G31" s="33" t="s">
        <v>4</v>
      </c>
      <c r="H31" s="33">
        <v>0</v>
      </c>
      <c r="I31" s="34">
        <v>-388.8</v>
      </c>
      <c r="J31" s="34">
        <f t="shared" si="0"/>
        <v>388.8</v>
      </c>
      <c r="K31" s="32" t="s">
        <v>3</v>
      </c>
      <c r="L31" s="32" t="s">
        <v>4</v>
      </c>
    </row>
    <row r="32" spans="1:12" x14ac:dyDescent="0.25">
      <c r="A32" s="32">
        <v>154</v>
      </c>
      <c r="B32" s="32" t="s">
        <v>106</v>
      </c>
      <c r="C32" s="32" t="s">
        <v>37</v>
      </c>
      <c r="D32" s="22" t="s">
        <v>141</v>
      </c>
      <c r="E32" s="32" t="s">
        <v>60</v>
      </c>
      <c r="F32" s="33">
        <v>0</v>
      </c>
      <c r="G32" s="33" t="s">
        <v>4</v>
      </c>
      <c r="H32" s="33">
        <v>0</v>
      </c>
      <c r="I32" s="34">
        <v>-672.3</v>
      </c>
      <c r="J32" s="34">
        <f t="shared" si="0"/>
        <v>672.3</v>
      </c>
      <c r="K32" s="32" t="s">
        <v>3</v>
      </c>
      <c r="L32" s="32" t="s">
        <v>4</v>
      </c>
    </row>
    <row r="33" spans="1:12" x14ac:dyDescent="0.25">
      <c r="A33" s="32">
        <v>166</v>
      </c>
      <c r="B33" s="32" t="s">
        <v>114</v>
      </c>
      <c r="C33" s="32" t="s">
        <v>37</v>
      </c>
      <c r="D33" s="22" t="s">
        <v>141</v>
      </c>
      <c r="E33" s="32" t="s">
        <v>60</v>
      </c>
      <c r="F33" s="33">
        <v>0</v>
      </c>
      <c r="G33" s="33" t="s">
        <v>4</v>
      </c>
      <c r="H33" s="33">
        <v>0</v>
      </c>
      <c r="I33" s="34">
        <v>-963.9</v>
      </c>
      <c r="J33" s="34">
        <f t="shared" si="0"/>
        <v>963.9</v>
      </c>
      <c r="K33" s="32" t="s">
        <v>3</v>
      </c>
      <c r="L33" s="32" t="s">
        <v>4</v>
      </c>
    </row>
    <row r="34" spans="1:12" x14ac:dyDescent="0.25">
      <c r="A34" s="32">
        <v>178</v>
      </c>
      <c r="B34" s="32" t="s">
        <v>120</v>
      </c>
      <c r="C34" s="32" t="s">
        <v>37</v>
      </c>
      <c r="D34" s="22" t="s">
        <v>141</v>
      </c>
      <c r="E34" s="32" t="s">
        <v>60</v>
      </c>
      <c r="F34" s="33">
        <v>0</v>
      </c>
      <c r="G34" s="33" t="s">
        <v>4</v>
      </c>
      <c r="H34" s="33">
        <v>0</v>
      </c>
      <c r="I34" s="34">
        <v>-22454.3</v>
      </c>
      <c r="J34" s="34">
        <f t="shared" ref="J34:J65" si="1">-I34</f>
        <v>22454.3</v>
      </c>
      <c r="K34" s="32" t="s">
        <v>3</v>
      </c>
      <c r="L34" s="32" t="s">
        <v>4</v>
      </c>
    </row>
    <row r="35" spans="1:12" x14ac:dyDescent="0.25">
      <c r="A35" s="23">
        <v>148</v>
      </c>
      <c r="B35" s="23" t="s">
        <v>102</v>
      </c>
      <c r="C35" s="23" t="s">
        <v>37</v>
      </c>
      <c r="D35" s="22" t="s">
        <v>141</v>
      </c>
      <c r="E35" s="23" t="s">
        <v>73</v>
      </c>
      <c r="F35" s="35">
        <v>0</v>
      </c>
      <c r="G35" s="35" t="s">
        <v>4</v>
      </c>
      <c r="H35" s="35">
        <v>0</v>
      </c>
      <c r="I35" s="36">
        <v>-388.8</v>
      </c>
      <c r="J35" s="36">
        <f t="shared" si="1"/>
        <v>388.8</v>
      </c>
      <c r="K35" s="23" t="s">
        <v>3</v>
      </c>
      <c r="L35" s="23" t="s">
        <v>4</v>
      </c>
    </row>
    <row r="36" spans="1:12" x14ac:dyDescent="0.25">
      <c r="A36" s="22">
        <v>160</v>
      </c>
      <c r="B36" s="22" t="s">
        <v>110</v>
      </c>
      <c r="C36" s="22" t="s">
        <v>37</v>
      </c>
      <c r="D36" s="22" t="s">
        <v>141</v>
      </c>
      <c r="E36" s="22" t="s">
        <v>73</v>
      </c>
      <c r="F36" s="30">
        <v>0</v>
      </c>
      <c r="G36" s="30" t="s">
        <v>4</v>
      </c>
      <c r="H36" s="30">
        <v>0</v>
      </c>
      <c r="I36" s="31">
        <v>-672.3</v>
      </c>
      <c r="J36" s="31">
        <f t="shared" si="1"/>
        <v>672.3</v>
      </c>
      <c r="K36" s="22" t="s">
        <v>3</v>
      </c>
      <c r="L36" s="22" t="s">
        <v>4</v>
      </c>
    </row>
    <row r="37" spans="1:12" x14ac:dyDescent="0.25">
      <c r="A37" s="23">
        <v>174</v>
      </c>
      <c r="B37" s="23" t="s">
        <v>118</v>
      </c>
      <c r="C37" s="23" t="s">
        <v>37</v>
      </c>
      <c r="D37" s="22" t="s">
        <v>141</v>
      </c>
      <c r="E37" s="23" t="s">
        <v>73</v>
      </c>
      <c r="F37" s="35">
        <v>0</v>
      </c>
      <c r="G37" s="35" t="s">
        <v>4</v>
      </c>
      <c r="H37" s="35">
        <v>0</v>
      </c>
      <c r="I37" s="36">
        <v>-1093.5</v>
      </c>
      <c r="J37" s="36">
        <f t="shared" si="1"/>
        <v>1093.5</v>
      </c>
      <c r="K37" s="23" t="s">
        <v>3</v>
      </c>
      <c r="L37" s="23" t="s">
        <v>4</v>
      </c>
    </row>
    <row r="38" spans="1:12" x14ac:dyDescent="0.25">
      <c r="A38" s="22">
        <v>183</v>
      </c>
      <c r="B38" s="22" t="s">
        <v>122</v>
      </c>
      <c r="C38" s="22" t="s">
        <v>37</v>
      </c>
      <c r="D38" s="22" t="s">
        <v>141</v>
      </c>
      <c r="E38" s="22" t="s">
        <v>73</v>
      </c>
      <c r="F38" s="30">
        <v>0</v>
      </c>
      <c r="G38" s="30" t="s">
        <v>4</v>
      </c>
      <c r="H38" s="30">
        <v>0</v>
      </c>
      <c r="I38" s="31">
        <v>-22810.7</v>
      </c>
      <c r="J38" s="31">
        <f t="shared" si="1"/>
        <v>22810.7</v>
      </c>
      <c r="K38" s="22" t="s">
        <v>3</v>
      </c>
      <c r="L38" s="22" t="s">
        <v>4</v>
      </c>
    </row>
    <row r="39" spans="1:12" x14ac:dyDescent="0.25">
      <c r="A39" s="23">
        <v>24</v>
      </c>
      <c r="B39" s="23" t="s">
        <v>35</v>
      </c>
      <c r="C39" s="23" t="s">
        <v>37</v>
      </c>
      <c r="D39" s="22" t="s">
        <v>141</v>
      </c>
      <c r="E39" s="23" t="s">
        <v>2</v>
      </c>
      <c r="F39" s="35">
        <v>0</v>
      </c>
      <c r="G39" s="35" t="s">
        <v>4</v>
      </c>
      <c r="H39" s="35">
        <v>0</v>
      </c>
      <c r="I39" s="36">
        <v>-219.72</v>
      </c>
      <c r="J39" s="36">
        <f t="shared" si="1"/>
        <v>219.72</v>
      </c>
      <c r="K39" s="23" t="s">
        <v>3</v>
      </c>
      <c r="L39" s="23" t="s">
        <v>4</v>
      </c>
    </row>
    <row r="40" spans="1:12" x14ac:dyDescent="0.25">
      <c r="A40" s="45">
        <v>29</v>
      </c>
      <c r="B40" s="45" t="s">
        <v>40</v>
      </c>
      <c r="C40" s="45" t="s">
        <v>37</v>
      </c>
      <c r="D40" s="22" t="s">
        <v>141</v>
      </c>
      <c r="E40" s="45" t="s">
        <v>8</v>
      </c>
      <c r="F40" s="46">
        <v>0</v>
      </c>
      <c r="G40" s="46" t="s">
        <v>4</v>
      </c>
      <c r="H40" s="46">
        <v>0</v>
      </c>
      <c r="I40" s="47">
        <v>-2200.1999999999998</v>
      </c>
      <c r="J40" s="47">
        <f t="shared" si="1"/>
        <v>2200.1999999999998</v>
      </c>
      <c r="K40" s="45" t="s">
        <v>3</v>
      </c>
      <c r="L40" s="45" t="s">
        <v>4</v>
      </c>
    </row>
    <row r="41" spans="1:12" x14ac:dyDescent="0.25">
      <c r="A41" s="23">
        <v>34</v>
      </c>
      <c r="B41" s="23" t="s">
        <v>42</v>
      </c>
      <c r="C41" s="23" t="s">
        <v>37</v>
      </c>
      <c r="D41" s="22" t="s">
        <v>141</v>
      </c>
      <c r="E41" s="23" t="s">
        <v>11</v>
      </c>
      <c r="F41" s="35">
        <v>0</v>
      </c>
      <c r="G41" s="35" t="s">
        <v>4</v>
      </c>
      <c r="H41" s="35">
        <v>0</v>
      </c>
      <c r="I41" s="36">
        <v>-3336.5</v>
      </c>
      <c r="J41" s="36">
        <f t="shared" si="1"/>
        <v>3336.5</v>
      </c>
      <c r="K41" s="23" t="s">
        <v>3</v>
      </c>
      <c r="L41" s="23" t="s">
        <v>4</v>
      </c>
    </row>
    <row r="42" spans="1:12" x14ac:dyDescent="0.25">
      <c r="A42" s="22">
        <v>39</v>
      </c>
      <c r="B42" s="22" t="s">
        <v>44</v>
      </c>
      <c r="C42" s="22" t="s">
        <v>37</v>
      </c>
      <c r="D42" s="22" t="s">
        <v>141</v>
      </c>
      <c r="E42" s="22" t="s">
        <v>14</v>
      </c>
      <c r="F42" s="30">
        <v>0</v>
      </c>
      <c r="G42" s="30" t="s">
        <v>4</v>
      </c>
      <c r="H42" s="30">
        <v>0</v>
      </c>
      <c r="I42" s="31">
        <v>-2224</v>
      </c>
      <c r="J42" s="31">
        <f t="shared" si="1"/>
        <v>2224</v>
      </c>
      <c r="K42" s="22" t="s">
        <v>3</v>
      </c>
      <c r="L42" s="22" t="s">
        <v>4</v>
      </c>
    </row>
    <row r="43" spans="1:12" x14ac:dyDescent="0.25">
      <c r="A43" s="23">
        <v>44</v>
      </c>
      <c r="B43" s="23" t="s">
        <v>46</v>
      </c>
      <c r="C43" s="23" t="s">
        <v>37</v>
      </c>
      <c r="D43" s="22" t="s">
        <v>141</v>
      </c>
      <c r="E43" s="23" t="s">
        <v>17</v>
      </c>
      <c r="F43" s="35">
        <v>0</v>
      </c>
      <c r="G43" s="35" t="s">
        <v>4</v>
      </c>
      <c r="H43" s="35">
        <v>0</v>
      </c>
      <c r="I43" s="36">
        <v>-1676.35</v>
      </c>
      <c r="J43" s="36">
        <f t="shared" si="1"/>
        <v>1676.35</v>
      </c>
      <c r="K43" s="23" t="s">
        <v>3</v>
      </c>
      <c r="L43" s="23" t="s">
        <v>4</v>
      </c>
    </row>
    <row r="44" spans="1:12" x14ac:dyDescent="0.25">
      <c r="A44" s="22">
        <v>49</v>
      </c>
      <c r="B44" s="22" t="s">
        <v>48</v>
      </c>
      <c r="C44" s="22" t="s">
        <v>37</v>
      </c>
      <c r="D44" s="22" t="s">
        <v>141</v>
      </c>
      <c r="E44" s="22" t="s">
        <v>20</v>
      </c>
      <c r="F44" s="30">
        <v>0</v>
      </c>
      <c r="G44" s="30" t="s">
        <v>4</v>
      </c>
      <c r="H44" s="30">
        <v>0</v>
      </c>
      <c r="I44" s="31">
        <v>-2234.8000000000002</v>
      </c>
      <c r="J44" s="31">
        <f t="shared" si="1"/>
        <v>2234.8000000000002</v>
      </c>
      <c r="K44" s="22" t="s">
        <v>3</v>
      </c>
      <c r="L44" s="22" t="s">
        <v>4</v>
      </c>
    </row>
    <row r="45" spans="1:12" x14ac:dyDescent="0.25">
      <c r="A45" s="23">
        <v>54</v>
      </c>
      <c r="B45" s="23" t="s">
        <v>50</v>
      </c>
      <c r="C45" s="23" t="s">
        <v>37</v>
      </c>
      <c r="D45" s="22" t="s">
        <v>141</v>
      </c>
      <c r="E45" s="23" t="s">
        <v>23</v>
      </c>
      <c r="F45" s="35">
        <v>0</v>
      </c>
      <c r="G45" s="35" t="s">
        <v>4</v>
      </c>
      <c r="H45" s="35">
        <v>0</v>
      </c>
      <c r="I45" s="36">
        <v>-2234.8000000000002</v>
      </c>
      <c r="J45" s="36">
        <f t="shared" si="1"/>
        <v>2234.8000000000002</v>
      </c>
      <c r="K45" s="23" t="s">
        <v>3</v>
      </c>
      <c r="L45" s="23" t="s">
        <v>4</v>
      </c>
    </row>
    <row r="46" spans="1:12" x14ac:dyDescent="0.25">
      <c r="A46" s="22">
        <v>109</v>
      </c>
      <c r="B46" s="22" t="s">
        <v>81</v>
      </c>
      <c r="C46" s="22" t="s">
        <v>37</v>
      </c>
      <c r="D46" s="22" t="s">
        <v>141</v>
      </c>
      <c r="E46" s="22" t="s">
        <v>71</v>
      </c>
      <c r="F46" s="30">
        <v>0</v>
      </c>
      <c r="G46" s="30" t="s">
        <v>4</v>
      </c>
      <c r="H46" s="30">
        <v>0</v>
      </c>
      <c r="I46" s="31">
        <v>-40000</v>
      </c>
      <c r="J46" s="31">
        <f t="shared" si="1"/>
        <v>40000</v>
      </c>
      <c r="K46" s="22" t="s">
        <v>3</v>
      </c>
      <c r="L46" s="22" t="s">
        <v>4</v>
      </c>
    </row>
    <row r="47" spans="1:12" x14ac:dyDescent="0.25">
      <c r="A47" s="23">
        <v>59</v>
      </c>
      <c r="B47" s="23" t="s">
        <v>52</v>
      </c>
      <c r="C47" s="23" t="s">
        <v>37</v>
      </c>
      <c r="D47" s="22" t="s">
        <v>141</v>
      </c>
      <c r="E47" s="23" t="s">
        <v>25</v>
      </c>
      <c r="F47" s="35">
        <v>0</v>
      </c>
      <c r="G47" s="35" t="s">
        <v>4</v>
      </c>
      <c r="H47" s="35">
        <v>0</v>
      </c>
      <c r="I47" s="36">
        <v>-11131</v>
      </c>
      <c r="J47" s="36">
        <f t="shared" si="1"/>
        <v>11131</v>
      </c>
      <c r="K47" s="23" t="s">
        <v>3</v>
      </c>
      <c r="L47" s="23" t="s">
        <v>4</v>
      </c>
    </row>
    <row r="48" spans="1:12" x14ac:dyDescent="0.25">
      <c r="A48" s="22">
        <v>64</v>
      </c>
      <c r="B48" s="22" t="s">
        <v>54</v>
      </c>
      <c r="C48" s="22" t="s">
        <v>37</v>
      </c>
      <c r="D48" s="22" t="s">
        <v>141</v>
      </c>
      <c r="E48" s="22" t="s">
        <v>28</v>
      </c>
      <c r="F48" s="30">
        <v>0</v>
      </c>
      <c r="G48" s="30" t="s">
        <v>4</v>
      </c>
      <c r="H48" s="30">
        <v>0</v>
      </c>
      <c r="I48" s="31">
        <v>-8315.5</v>
      </c>
      <c r="J48" s="31">
        <f t="shared" si="1"/>
        <v>8315.5</v>
      </c>
      <c r="K48" s="22" t="s">
        <v>3</v>
      </c>
      <c r="L48" s="22" t="s">
        <v>4</v>
      </c>
    </row>
    <row r="49" spans="1:12" x14ac:dyDescent="0.25">
      <c r="A49" s="23">
        <v>113</v>
      </c>
      <c r="B49" s="23" t="s">
        <v>85</v>
      </c>
      <c r="C49" s="23" t="s">
        <v>37</v>
      </c>
      <c r="D49" s="22" t="s">
        <v>141</v>
      </c>
      <c r="E49" s="23" t="s">
        <v>70</v>
      </c>
      <c r="F49" s="35">
        <v>0</v>
      </c>
      <c r="G49" s="35" t="s">
        <v>4</v>
      </c>
      <c r="H49" s="35">
        <v>0</v>
      </c>
      <c r="I49" s="36">
        <v>-50000</v>
      </c>
      <c r="J49" s="36">
        <f t="shared" si="1"/>
        <v>50000</v>
      </c>
      <c r="K49" s="23" t="s">
        <v>3</v>
      </c>
      <c r="L49" s="23" t="s">
        <v>4</v>
      </c>
    </row>
    <row r="50" spans="1:12" x14ac:dyDescent="0.25">
      <c r="A50" s="22">
        <v>111</v>
      </c>
      <c r="B50" s="22" t="s">
        <v>85</v>
      </c>
      <c r="C50" s="22" t="s">
        <v>37</v>
      </c>
      <c r="D50" s="22" t="s">
        <v>141</v>
      </c>
      <c r="E50" s="22" t="s">
        <v>62</v>
      </c>
      <c r="F50" s="30">
        <v>0</v>
      </c>
      <c r="G50" s="30" t="s">
        <v>4</v>
      </c>
      <c r="H50" s="30">
        <v>0</v>
      </c>
      <c r="I50" s="31">
        <v>-50000</v>
      </c>
      <c r="J50" s="31">
        <f t="shared" si="1"/>
        <v>50000</v>
      </c>
      <c r="K50" s="22" t="s">
        <v>3</v>
      </c>
      <c r="L50" s="22" t="s">
        <v>4</v>
      </c>
    </row>
    <row r="51" spans="1:12" x14ac:dyDescent="0.25">
      <c r="A51" s="23">
        <v>117</v>
      </c>
      <c r="B51" s="23" t="s">
        <v>87</v>
      </c>
      <c r="C51" s="23" t="s">
        <v>37</v>
      </c>
      <c r="D51" s="22" t="s">
        <v>141</v>
      </c>
      <c r="E51" s="23" t="s">
        <v>66</v>
      </c>
      <c r="F51" s="35">
        <v>0</v>
      </c>
      <c r="G51" s="35" t="s">
        <v>4</v>
      </c>
      <c r="H51" s="35">
        <v>0</v>
      </c>
      <c r="I51" s="36">
        <v>-50149.85</v>
      </c>
      <c r="J51" s="36">
        <f t="shared" si="1"/>
        <v>50149.85</v>
      </c>
      <c r="K51" s="23" t="s">
        <v>3</v>
      </c>
      <c r="L51" s="23" t="s">
        <v>4</v>
      </c>
    </row>
    <row r="52" spans="1:12" x14ac:dyDescent="0.25">
      <c r="A52" s="22">
        <v>121</v>
      </c>
      <c r="B52" s="22" t="s">
        <v>89</v>
      </c>
      <c r="C52" s="22" t="s">
        <v>37</v>
      </c>
      <c r="D52" s="22" t="s">
        <v>141</v>
      </c>
      <c r="E52" s="22" t="s">
        <v>59</v>
      </c>
      <c r="F52" s="30">
        <v>0</v>
      </c>
      <c r="G52" s="30" t="s">
        <v>4</v>
      </c>
      <c r="H52" s="30">
        <v>0</v>
      </c>
      <c r="I52" s="31">
        <v>-178.2</v>
      </c>
      <c r="J52" s="31">
        <f t="shared" si="1"/>
        <v>178.2</v>
      </c>
      <c r="K52" s="22" t="s">
        <v>3</v>
      </c>
      <c r="L52" s="22" t="s">
        <v>4</v>
      </c>
    </row>
    <row r="53" spans="1:12" x14ac:dyDescent="0.25">
      <c r="A53" s="23">
        <v>129</v>
      </c>
      <c r="B53" s="23" t="s">
        <v>93</v>
      </c>
      <c r="C53" s="23" t="s">
        <v>37</v>
      </c>
      <c r="D53" s="22" t="s">
        <v>141</v>
      </c>
      <c r="E53" s="23" t="s">
        <v>59</v>
      </c>
      <c r="F53" s="35">
        <v>0</v>
      </c>
      <c r="G53" s="35" t="s">
        <v>4</v>
      </c>
      <c r="H53" s="35">
        <v>0</v>
      </c>
      <c r="I53" s="36">
        <v>-19904</v>
      </c>
      <c r="J53" s="36">
        <f t="shared" si="1"/>
        <v>19904</v>
      </c>
      <c r="K53" s="23" t="s">
        <v>3</v>
      </c>
      <c r="L53" s="23" t="s">
        <v>4</v>
      </c>
    </row>
    <row r="54" spans="1:12" x14ac:dyDescent="0.25">
      <c r="A54" s="22">
        <v>125</v>
      </c>
      <c r="B54" s="22" t="s">
        <v>92</v>
      </c>
      <c r="C54" s="22" t="s">
        <v>37</v>
      </c>
      <c r="D54" s="22" t="s">
        <v>141</v>
      </c>
      <c r="E54" s="22" t="s">
        <v>63</v>
      </c>
      <c r="F54" s="30">
        <v>0</v>
      </c>
      <c r="G54" s="30" t="s">
        <v>4</v>
      </c>
      <c r="H54" s="30">
        <v>0</v>
      </c>
      <c r="I54" s="31">
        <v>-757.35</v>
      </c>
      <c r="J54" s="31">
        <f t="shared" si="1"/>
        <v>757.35</v>
      </c>
      <c r="K54" s="22" t="s">
        <v>3</v>
      </c>
      <c r="L54" s="22" t="s">
        <v>4</v>
      </c>
    </row>
    <row r="55" spans="1:12" x14ac:dyDescent="0.25">
      <c r="A55" s="23">
        <v>134</v>
      </c>
      <c r="B55" s="23" t="s">
        <v>94</v>
      </c>
      <c r="C55" s="23" t="s">
        <v>37</v>
      </c>
      <c r="D55" s="22" t="s">
        <v>141</v>
      </c>
      <c r="E55" s="23" t="s">
        <v>63</v>
      </c>
      <c r="F55" s="35">
        <v>0</v>
      </c>
      <c r="G55" s="35" t="s">
        <v>4</v>
      </c>
      <c r="H55" s="35">
        <v>0</v>
      </c>
      <c r="I55" s="36">
        <v>-19870</v>
      </c>
      <c r="J55" s="36">
        <f t="shared" si="1"/>
        <v>19870</v>
      </c>
      <c r="K55" s="23" t="s">
        <v>3</v>
      </c>
      <c r="L55" s="23" t="s">
        <v>4</v>
      </c>
    </row>
    <row r="56" spans="1:12" x14ac:dyDescent="0.25">
      <c r="A56" s="22">
        <v>139</v>
      </c>
      <c r="B56" s="22" t="s">
        <v>96</v>
      </c>
      <c r="C56" s="22" t="s">
        <v>37</v>
      </c>
      <c r="D56" s="22" t="s">
        <v>141</v>
      </c>
      <c r="E56" s="22" t="s">
        <v>63</v>
      </c>
      <c r="F56" s="30">
        <v>0</v>
      </c>
      <c r="G56" s="30" t="s">
        <v>4</v>
      </c>
      <c r="H56" s="30">
        <v>0</v>
      </c>
      <c r="I56" s="31">
        <v>-14929.5</v>
      </c>
      <c r="J56" s="31">
        <f t="shared" si="1"/>
        <v>14929.5</v>
      </c>
      <c r="K56" s="22" t="s">
        <v>3</v>
      </c>
      <c r="L56" s="22" t="s">
        <v>4</v>
      </c>
    </row>
    <row r="57" spans="1:12" x14ac:dyDescent="0.25">
      <c r="A57" s="23">
        <v>145</v>
      </c>
      <c r="B57" s="23" t="s">
        <v>100</v>
      </c>
      <c r="C57" s="23" t="s">
        <v>37</v>
      </c>
      <c r="D57" s="22" t="s">
        <v>141</v>
      </c>
      <c r="E57" s="23" t="s">
        <v>63</v>
      </c>
      <c r="F57" s="35">
        <v>0</v>
      </c>
      <c r="G57" s="35" t="s">
        <v>4</v>
      </c>
      <c r="H57" s="35">
        <v>0</v>
      </c>
      <c r="I57" s="36">
        <v>-364.5</v>
      </c>
      <c r="J57" s="36">
        <f t="shared" si="1"/>
        <v>364.5</v>
      </c>
      <c r="K57" s="23" t="s">
        <v>3</v>
      </c>
      <c r="L57" s="23" t="s">
        <v>4</v>
      </c>
    </row>
    <row r="58" spans="1:12" x14ac:dyDescent="0.25">
      <c r="A58" s="22">
        <v>151</v>
      </c>
      <c r="B58" s="22" t="s">
        <v>104</v>
      </c>
      <c r="C58" s="22" t="s">
        <v>37</v>
      </c>
      <c r="D58" s="22" t="s">
        <v>141</v>
      </c>
      <c r="E58" s="22" t="s">
        <v>63</v>
      </c>
      <c r="F58" s="30">
        <v>0</v>
      </c>
      <c r="G58" s="30" t="s">
        <v>4</v>
      </c>
      <c r="H58" s="30">
        <v>0</v>
      </c>
      <c r="I58" s="31">
        <v>-56.7</v>
      </c>
      <c r="J58" s="31">
        <f t="shared" si="1"/>
        <v>56.7</v>
      </c>
      <c r="K58" s="22" t="s">
        <v>3</v>
      </c>
      <c r="L58" s="22" t="s">
        <v>4</v>
      </c>
    </row>
    <row r="59" spans="1:12" x14ac:dyDescent="0.25">
      <c r="A59" s="23">
        <v>157</v>
      </c>
      <c r="B59" s="23" t="s">
        <v>108</v>
      </c>
      <c r="C59" s="23" t="s">
        <v>37</v>
      </c>
      <c r="D59" s="22" t="s">
        <v>141</v>
      </c>
      <c r="E59" s="23" t="s">
        <v>63</v>
      </c>
      <c r="F59" s="35">
        <v>0</v>
      </c>
      <c r="G59" s="35" t="s">
        <v>4</v>
      </c>
      <c r="H59" s="35">
        <v>0</v>
      </c>
      <c r="I59" s="36">
        <v>-52.65</v>
      </c>
      <c r="J59" s="36">
        <f t="shared" si="1"/>
        <v>52.65</v>
      </c>
      <c r="K59" s="23" t="s">
        <v>3</v>
      </c>
      <c r="L59" s="23" t="s">
        <v>4</v>
      </c>
    </row>
    <row r="60" spans="1:12" x14ac:dyDescent="0.25">
      <c r="A60" s="22">
        <v>163</v>
      </c>
      <c r="B60" s="22" t="s">
        <v>112</v>
      </c>
      <c r="C60" s="22" t="s">
        <v>37</v>
      </c>
      <c r="D60" s="22" t="s">
        <v>141</v>
      </c>
      <c r="E60" s="22" t="s">
        <v>63</v>
      </c>
      <c r="F60" s="30">
        <v>0</v>
      </c>
      <c r="G60" s="30" t="s">
        <v>4</v>
      </c>
      <c r="H60" s="30">
        <v>0</v>
      </c>
      <c r="I60" s="31">
        <v>-52.65</v>
      </c>
      <c r="J60" s="31">
        <f t="shared" si="1"/>
        <v>52.65</v>
      </c>
      <c r="K60" s="22" t="s">
        <v>3</v>
      </c>
      <c r="L60" s="22" t="s">
        <v>4</v>
      </c>
    </row>
    <row r="61" spans="1:12" x14ac:dyDescent="0.25">
      <c r="A61" s="23">
        <v>170</v>
      </c>
      <c r="B61" s="23" t="s">
        <v>116</v>
      </c>
      <c r="C61" s="23" t="s">
        <v>37</v>
      </c>
      <c r="D61" s="22" t="s">
        <v>141</v>
      </c>
      <c r="E61" s="23" t="s">
        <v>63</v>
      </c>
      <c r="F61" s="35">
        <v>0</v>
      </c>
      <c r="G61" s="35" t="s">
        <v>4</v>
      </c>
      <c r="H61" s="35">
        <v>0</v>
      </c>
      <c r="I61" s="36">
        <v>-50648</v>
      </c>
      <c r="J61" s="36">
        <f t="shared" si="1"/>
        <v>50648</v>
      </c>
      <c r="K61" s="23" t="s">
        <v>3</v>
      </c>
      <c r="L61" s="23" t="s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EB29-79B0-42A2-95D4-8A4B6B964E1F}">
  <dimension ref="A1:K17"/>
  <sheetViews>
    <sheetView workbookViewId="0">
      <selection activeCell="A3" sqref="A3:K17"/>
    </sheetView>
  </sheetViews>
  <sheetFormatPr defaultRowHeight="12.5" x14ac:dyDescent="0.25"/>
  <cols>
    <col min="1" max="1" width="3.81640625" bestFit="1" customWidth="1"/>
    <col min="2" max="2" width="17.54296875" bestFit="1" customWidth="1"/>
    <col min="3" max="3" width="19.90625" bestFit="1" customWidth="1"/>
    <col min="4" max="4" width="15.08984375" bestFit="1" customWidth="1"/>
    <col min="5" max="5" width="10.1796875" bestFit="1" customWidth="1"/>
    <col min="6" max="6" width="6.08984375" bestFit="1" customWidth="1"/>
    <col min="7" max="7" width="17.453125" bestFit="1" customWidth="1"/>
    <col min="8" max="8" width="17.36328125" bestFit="1" customWidth="1"/>
    <col min="9" max="9" width="10.54296875" bestFit="1" customWidth="1"/>
    <col min="10" max="10" width="11.08984375" bestFit="1" customWidth="1"/>
    <col min="11" max="11" width="21.81640625" bestFit="1" customWidth="1"/>
  </cols>
  <sheetData>
    <row r="1" spans="1:11" ht="13" x14ac:dyDescent="0.3">
      <c r="A1" s="28" t="s">
        <v>135</v>
      </c>
      <c r="B1" s="29" t="s">
        <v>123</v>
      </c>
      <c r="C1" s="29" t="s">
        <v>124</v>
      </c>
      <c r="D1" s="29" t="s">
        <v>125</v>
      </c>
      <c r="E1" s="29" t="s">
        <v>126</v>
      </c>
      <c r="F1" s="29" t="s">
        <v>127</v>
      </c>
      <c r="G1" s="29" t="s">
        <v>128</v>
      </c>
      <c r="H1" s="29" t="s">
        <v>129</v>
      </c>
      <c r="I1" s="29" t="s">
        <v>139</v>
      </c>
      <c r="J1" s="29" t="s">
        <v>130</v>
      </c>
      <c r="K1" s="29" t="s">
        <v>131</v>
      </c>
    </row>
    <row r="2" spans="1:11" x14ac:dyDescent="0.25">
      <c r="A2" s="22">
        <v>102</v>
      </c>
      <c r="B2" s="22" t="s">
        <v>76</v>
      </c>
      <c r="C2" s="22"/>
      <c r="D2" s="22" t="s">
        <v>4</v>
      </c>
      <c r="E2" s="30">
        <v>0</v>
      </c>
      <c r="F2" s="30" t="s">
        <v>4</v>
      </c>
      <c r="G2" s="30">
        <v>0</v>
      </c>
      <c r="H2" s="31">
        <v>270000</v>
      </c>
      <c r="I2" s="31">
        <f t="shared" ref="I2" si="0">-H2</f>
        <v>-270000</v>
      </c>
      <c r="J2" s="22" t="s">
        <v>3</v>
      </c>
      <c r="K2" s="22" t="s">
        <v>78</v>
      </c>
    </row>
    <row r="3" spans="1:11" x14ac:dyDescent="0.25">
      <c r="A3" s="22">
        <v>175</v>
      </c>
      <c r="B3" s="22" t="s">
        <v>119</v>
      </c>
      <c r="C3" s="22" t="s">
        <v>137</v>
      </c>
      <c r="D3" s="22" t="s">
        <v>60</v>
      </c>
      <c r="E3" s="30">
        <v>4</v>
      </c>
      <c r="F3" s="30">
        <v>8</v>
      </c>
      <c r="G3" s="30">
        <v>0</v>
      </c>
      <c r="H3" s="31">
        <v>20000</v>
      </c>
      <c r="I3" s="31">
        <f t="shared" ref="I3:I17" si="1">-H3</f>
        <v>-20000</v>
      </c>
      <c r="J3" s="22" t="s">
        <v>3</v>
      </c>
      <c r="K3" s="22" t="s">
        <v>4</v>
      </c>
    </row>
    <row r="4" spans="1:11" x14ac:dyDescent="0.25">
      <c r="A4" s="22">
        <v>180</v>
      </c>
      <c r="B4" s="22" t="s">
        <v>121</v>
      </c>
      <c r="C4" s="22" t="s">
        <v>137</v>
      </c>
      <c r="D4" s="22" t="s">
        <v>73</v>
      </c>
      <c r="E4" s="30">
        <v>4</v>
      </c>
      <c r="F4" s="30">
        <v>5</v>
      </c>
      <c r="G4" s="30">
        <v>0</v>
      </c>
      <c r="H4" s="31">
        <v>20000</v>
      </c>
      <c r="I4" s="31">
        <f t="shared" si="1"/>
        <v>-20000</v>
      </c>
      <c r="J4" s="22" t="s">
        <v>3</v>
      </c>
      <c r="K4" s="22" t="s">
        <v>4</v>
      </c>
    </row>
    <row r="5" spans="1:11" x14ac:dyDescent="0.25">
      <c r="A5" s="22">
        <v>21</v>
      </c>
      <c r="B5" s="22" t="s">
        <v>33</v>
      </c>
      <c r="C5" s="22" t="s">
        <v>137</v>
      </c>
      <c r="D5" s="22" t="s">
        <v>2</v>
      </c>
      <c r="E5" s="30">
        <v>2</v>
      </c>
      <c r="F5" s="30">
        <v>22</v>
      </c>
      <c r="G5" s="30">
        <v>0</v>
      </c>
      <c r="H5" s="31">
        <v>200</v>
      </c>
      <c r="I5" s="31">
        <f t="shared" si="1"/>
        <v>-200</v>
      </c>
      <c r="J5" s="22" t="s">
        <v>3</v>
      </c>
      <c r="K5" s="22" t="s">
        <v>4</v>
      </c>
    </row>
    <row r="6" spans="1:11" x14ac:dyDescent="0.25">
      <c r="A6" s="22">
        <v>26</v>
      </c>
      <c r="B6" s="22" t="s">
        <v>39</v>
      </c>
      <c r="C6" s="22" t="s">
        <v>137</v>
      </c>
      <c r="D6" s="22" t="s">
        <v>8</v>
      </c>
      <c r="E6" s="30">
        <v>2</v>
      </c>
      <c r="F6" s="30">
        <v>30</v>
      </c>
      <c r="G6" s="30">
        <v>0</v>
      </c>
      <c r="H6" s="31">
        <v>2000</v>
      </c>
      <c r="I6" s="31">
        <f t="shared" si="1"/>
        <v>-2000</v>
      </c>
      <c r="J6" s="22" t="s">
        <v>3</v>
      </c>
      <c r="K6" s="22" t="s">
        <v>4</v>
      </c>
    </row>
    <row r="7" spans="1:11" x14ac:dyDescent="0.25">
      <c r="A7" s="22">
        <v>31</v>
      </c>
      <c r="B7" s="22" t="s">
        <v>41</v>
      </c>
      <c r="C7" s="22" t="s">
        <v>137</v>
      </c>
      <c r="D7" s="22" t="s">
        <v>11</v>
      </c>
      <c r="E7" s="30">
        <v>2</v>
      </c>
      <c r="F7" s="30">
        <v>7</v>
      </c>
      <c r="G7" s="30">
        <v>0</v>
      </c>
      <c r="H7" s="31">
        <v>3000</v>
      </c>
      <c r="I7" s="31">
        <f t="shared" si="1"/>
        <v>-3000</v>
      </c>
      <c r="J7" s="22" t="s">
        <v>3</v>
      </c>
      <c r="K7" s="22" t="s">
        <v>4</v>
      </c>
    </row>
    <row r="8" spans="1:11" x14ac:dyDescent="0.25">
      <c r="A8" s="22">
        <v>36</v>
      </c>
      <c r="B8" s="22" t="s">
        <v>43</v>
      </c>
      <c r="C8" s="22" t="s">
        <v>137</v>
      </c>
      <c r="D8" s="22" t="s">
        <v>14</v>
      </c>
      <c r="E8" s="30">
        <v>2</v>
      </c>
      <c r="F8" s="30">
        <v>5</v>
      </c>
      <c r="G8" s="30">
        <v>0</v>
      </c>
      <c r="H8" s="31">
        <v>2000</v>
      </c>
      <c r="I8" s="31">
        <f t="shared" si="1"/>
        <v>-2000</v>
      </c>
      <c r="J8" s="22" t="s">
        <v>3</v>
      </c>
      <c r="K8" s="22" t="s">
        <v>4</v>
      </c>
    </row>
    <row r="9" spans="1:11" x14ac:dyDescent="0.25">
      <c r="A9" s="22">
        <v>41</v>
      </c>
      <c r="B9" s="22" t="s">
        <v>45</v>
      </c>
      <c r="C9" s="22" t="s">
        <v>137</v>
      </c>
      <c r="D9" s="22" t="s">
        <v>17</v>
      </c>
      <c r="E9" s="30">
        <v>2</v>
      </c>
      <c r="F9" s="30">
        <v>2</v>
      </c>
      <c r="G9" s="30">
        <v>0</v>
      </c>
      <c r="H9" s="31">
        <v>1500</v>
      </c>
      <c r="I9" s="31">
        <f t="shared" si="1"/>
        <v>-1500</v>
      </c>
      <c r="J9" s="22" t="s">
        <v>3</v>
      </c>
      <c r="K9" s="22" t="s">
        <v>4</v>
      </c>
    </row>
    <row r="10" spans="1:11" x14ac:dyDescent="0.25">
      <c r="A10" s="22">
        <v>46</v>
      </c>
      <c r="B10" s="22" t="s">
        <v>47</v>
      </c>
      <c r="C10" s="22" t="s">
        <v>137</v>
      </c>
      <c r="D10" s="22" t="s">
        <v>20</v>
      </c>
      <c r="E10" s="30">
        <v>2</v>
      </c>
      <c r="F10" s="30">
        <v>6</v>
      </c>
      <c r="G10" s="30">
        <v>0</v>
      </c>
      <c r="H10" s="31">
        <v>2000</v>
      </c>
      <c r="I10" s="31">
        <f t="shared" si="1"/>
        <v>-2000</v>
      </c>
      <c r="J10" s="22" t="s">
        <v>3</v>
      </c>
      <c r="K10" s="22" t="s">
        <v>4</v>
      </c>
    </row>
    <row r="11" spans="1:11" x14ac:dyDescent="0.25">
      <c r="A11" s="22">
        <v>51</v>
      </c>
      <c r="B11" s="22" t="s">
        <v>49</v>
      </c>
      <c r="C11" s="22" t="s">
        <v>137</v>
      </c>
      <c r="D11" s="22" t="s">
        <v>23</v>
      </c>
      <c r="E11" s="30">
        <v>2</v>
      </c>
      <c r="F11" s="30">
        <v>4</v>
      </c>
      <c r="G11" s="30">
        <v>0</v>
      </c>
      <c r="H11" s="31">
        <v>2000</v>
      </c>
      <c r="I11" s="31">
        <f t="shared" si="1"/>
        <v>-2000</v>
      </c>
      <c r="J11" s="22" t="s">
        <v>3</v>
      </c>
      <c r="K11" s="22" t="s">
        <v>4</v>
      </c>
    </row>
    <row r="12" spans="1:11" x14ac:dyDescent="0.25">
      <c r="A12" s="22">
        <v>56</v>
      </c>
      <c r="B12" s="22" t="s">
        <v>51</v>
      </c>
      <c r="C12" s="22" t="s">
        <v>137</v>
      </c>
      <c r="D12" s="22" t="s">
        <v>25</v>
      </c>
      <c r="E12" s="30">
        <v>2</v>
      </c>
      <c r="F12" s="30">
        <v>15</v>
      </c>
      <c r="G12" s="30">
        <v>0</v>
      </c>
      <c r="H12" s="31">
        <v>10000</v>
      </c>
      <c r="I12" s="31">
        <f t="shared" si="1"/>
        <v>-10000</v>
      </c>
      <c r="J12" s="22" t="s">
        <v>3</v>
      </c>
      <c r="K12" s="22" t="s">
        <v>4</v>
      </c>
    </row>
    <row r="13" spans="1:11" x14ac:dyDescent="0.25">
      <c r="A13" s="22">
        <v>61</v>
      </c>
      <c r="B13" s="22" t="s">
        <v>53</v>
      </c>
      <c r="C13" s="22" t="s">
        <v>137</v>
      </c>
      <c r="D13" s="22" t="s">
        <v>28</v>
      </c>
      <c r="E13" s="30">
        <v>2</v>
      </c>
      <c r="F13" s="30">
        <v>13</v>
      </c>
      <c r="G13" s="30">
        <v>0</v>
      </c>
      <c r="H13" s="31">
        <v>7500</v>
      </c>
      <c r="I13" s="31">
        <f t="shared" si="1"/>
        <v>-7500</v>
      </c>
      <c r="J13" s="22" t="s">
        <v>3</v>
      </c>
      <c r="K13" s="22" t="s">
        <v>4</v>
      </c>
    </row>
    <row r="14" spans="1:11" x14ac:dyDescent="0.25">
      <c r="A14" s="22">
        <v>80</v>
      </c>
      <c r="B14" s="22" t="s">
        <v>64</v>
      </c>
      <c r="C14" s="22" t="s">
        <v>137</v>
      </c>
      <c r="D14" s="22" t="s">
        <v>56</v>
      </c>
      <c r="E14" s="30">
        <v>1</v>
      </c>
      <c r="F14" s="30">
        <v>24</v>
      </c>
      <c r="G14" s="30">
        <v>0</v>
      </c>
      <c r="H14" s="31">
        <v>10000</v>
      </c>
      <c r="I14" s="31">
        <f t="shared" si="1"/>
        <v>-10000</v>
      </c>
      <c r="J14" s="22" t="s">
        <v>3</v>
      </c>
      <c r="K14" s="22" t="s">
        <v>4</v>
      </c>
    </row>
    <row r="15" spans="1:11" x14ac:dyDescent="0.25">
      <c r="A15" s="22">
        <v>86</v>
      </c>
      <c r="B15" s="22" t="s">
        <v>68</v>
      </c>
      <c r="C15" s="22" t="s">
        <v>137</v>
      </c>
      <c r="D15" s="22" t="s">
        <v>58</v>
      </c>
      <c r="E15" s="30">
        <v>1</v>
      </c>
      <c r="F15" s="30">
        <v>8</v>
      </c>
      <c r="G15" s="30">
        <v>0</v>
      </c>
      <c r="H15" s="31">
        <v>20000</v>
      </c>
      <c r="I15" s="31">
        <f t="shared" si="1"/>
        <v>-20000</v>
      </c>
      <c r="J15" s="22" t="s">
        <v>3</v>
      </c>
      <c r="K15" s="22" t="s">
        <v>4</v>
      </c>
    </row>
    <row r="16" spans="1:11" x14ac:dyDescent="0.25">
      <c r="A16" s="22">
        <v>114</v>
      </c>
      <c r="B16" s="22" t="s">
        <v>86</v>
      </c>
      <c r="C16" s="22" t="s">
        <v>137</v>
      </c>
      <c r="D16" s="22" t="s">
        <v>66</v>
      </c>
      <c r="E16" s="30">
        <v>1</v>
      </c>
      <c r="F16" s="30">
        <v>23</v>
      </c>
      <c r="G16" s="30">
        <v>0</v>
      </c>
      <c r="H16" s="31">
        <v>50000</v>
      </c>
      <c r="I16" s="31">
        <f t="shared" si="1"/>
        <v>-50000</v>
      </c>
      <c r="J16" s="22" t="s">
        <v>3</v>
      </c>
      <c r="K16" s="22" t="s">
        <v>4</v>
      </c>
    </row>
    <row r="17" spans="1:11" x14ac:dyDescent="0.25">
      <c r="A17" s="22">
        <v>167</v>
      </c>
      <c r="B17" s="22" t="s">
        <v>115</v>
      </c>
      <c r="C17" s="22" t="s">
        <v>137</v>
      </c>
      <c r="D17" s="22" t="s">
        <v>63</v>
      </c>
      <c r="E17" s="30">
        <v>6</v>
      </c>
      <c r="F17" s="30">
        <v>21</v>
      </c>
      <c r="G17" s="30">
        <v>0</v>
      </c>
      <c r="H17" s="31">
        <v>50000</v>
      </c>
      <c r="I17" s="31">
        <f t="shared" si="1"/>
        <v>-50000</v>
      </c>
      <c r="J17" s="22" t="s">
        <v>3</v>
      </c>
      <c r="K17" s="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tbl1</vt:lpstr>
      <vt:lpstr>Arkusz10</vt:lpstr>
      <vt:lpstr>operacje na papierach</vt:lpstr>
      <vt:lpstr>Arkusz7</vt:lpstr>
      <vt:lpstr>p&amp;l</vt:lpstr>
      <vt:lpstr>Arkusz9</vt:lpstr>
      <vt:lpstr>CF</vt:lpstr>
      <vt:lpstr>Arkusz11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Malczak</cp:lastModifiedBy>
  <dcterms:created xsi:type="dcterms:W3CDTF">2025-09-18T21:58:36Z</dcterms:created>
  <dcterms:modified xsi:type="dcterms:W3CDTF">2025-09-21T21:16:23Z</dcterms:modified>
</cp:coreProperties>
</file>